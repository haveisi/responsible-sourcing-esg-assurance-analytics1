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23e16fde91b61c5/D/ESG/Examples/IFF/"/>
    </mc:Choice>
  </mc:AlternateContent>
  <xr:revisionPtr revIDLastSave="2" documentId="8_{9245BFED-B61B-44F4-8954-1AC7FC5DBB12}" xr6:coauthVersionLast="47" xr6:coauthVersionMax="47" xr10:uidLastSave="{17E493E8-E4FB-4267-B2B0-B853FBFB1739}"/>
  <bookViews>
    <workbookView xWindow="1515" yWindow="1515" windowWidth="21600" windowHeight="11295" firstSheet="4" activeTab="7" xr2:uid="{00000000-000D-0000-FFFF-FFFF00000000}"/>
  </bookViews>
  <sheets>
    <sheet name="README" sheetId="1" r:id="rId1"/>
    <sheet name="Supplier_Master" sheetId="2" r:id="rId2"/>
    <sheet name="Material_Master" sheetId="3" r:id="rId3"/>
    <sheet name="Evidence_Register" sheetId="4" r:id="rId4"/>
    <sheet name="Emission_Factor_Master" sheetId="5" r:id="rId5"/>
    <sheet name="Procurement_Transactions" sheetId="6" r:id="rId6"/>
    <sheet name="Control_Results" sheetId="7" r:id="rId7"/>
    <sheet name="Municipality_Reference" sheetId="8" r:id="rId8"/>
    <sheet name="Municipality_Validation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6" l="1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</calcChain>
</file>

<file path=xl/sharedStrings.xml><?xml version="1.0" encoding="utf-8"?>
<sst xmlns="http://schemas.openxmlformats.org/spreadsheetml/2006/main" count="2406" uniqueCount="465">
  <si>
    <t>IFF Synthetic Supplier &amp; Procurement Data — Training Dataset</t>
  </si>
  <si>
    <t>Purpose</t>
  </si>
  <si>
    <t>Synthetic workbook for practicing IFF-style responsible sourcing, Scope 3 Category 1 governance, evidence, controls, and later QGIS integration.</t>
  </si>
  <si>
    <t>Important boundary</t>
  </si>
  <si>
    <t>All supplier, transaction, evidence, assessment, spend, and emissions values are synthetic. This workbook does not represent IFF internal data or controls.</t>
  </si>
  <si>
    <t>Current stage</t>
  </si>
  <si>
    <t>Supplier, material, procurement, evidence, factor, and control-result tables are populated for training. Municipality codes and verified coordinates must be linked to official IBGE reference data in the next geospatial step.</t>
  </si>
  <si>
    <t>Governance logic</t>
  </si>
  <si>
    <t>Open material exception → HOLD. No open material exception → ELIGIBLE. Geo-related fields are intentionally incomplete for selected records so that the QGIS/IBGE control workflow can be tested.</t>
  </si>
  <si>
    <t>How to use</t>
  </si>
  <si>
    <t>1) Municipality codes are now linked to IBGE. 2) Load approved EPA factors into Emission_Factor_Master. 3) Run controls. 4) Use QGIS to join municipal geometry and public risk layers. 5) Keep supplier/farm coordinates synthetic and separately governed.</t>
  </si>
  <si>
    <t>Step 4 update</t>
  </si>
  <si>
    <t>Official IBGE 2025 municipality codes were linked to the 10 synthetic sourcing municipalities. Trase v2.6.1 public soy data were aggregated for the latest year present in the uploaded file (2022).</t>
  </si>
  <si>
    <t>Important GIS boundary</t>
  </si>
  <si>
    <t>Municipality codes, boundaries, biome labels and Trase indicators are public/reference data. Supplier/farm locations remain synthetic; latitude/longitude are intentionally blank until the controlled QGIS exercise.</t>
  </si>
  <si>
    <t>Why municipality IDs matter</t>
  </si>
  <si>
    <t>Supplier and transaction records now join through one governed IBGE municipality code instead of relying on text names.</t>
  </si>
  <si>
    <t>Next step</t>
  </si>
  <si>
    <t>Load the IBGE shapefile in QGIS, join Municipality_Reference by IBGE code, then add MapBiomas alerts and test spatial risk. Do not treat municipal deforestation exposure as proof of supplier causation.</t>
  </si>
  <si>
    <t>Three-source validation completed</t>
  </si>
  <si>
    <t>IBGE 2025 validates municipality identity/code; Trase validates that each selected municipality appears in the Brazil soy dataset with positive soy volume; MapBiomas adds public deforestation-alert context.</t>
  </si>
  <si>
    <t>Result</t>
  </si>
  <si>
    <t>All 10 synthetic municipality choices are valid IBGE municipalities and are suitable for the soy case because all appear in the uploaded Trase soy dataset with positive 2022 soy volume.</t>
  </si>
  <si>
    <t>Name cleanup</t>
  </si>
  <si>
    <t>Three synthetic labels required official spelling/accents: Rondonopolis → Rondonópolis; Urucui → Uruçuí; Luis Eduardo Magalhaes → Luís Eduardo Magalhães.</t>
  </si>
  <si>
    <t>Important caution</t>
  </si>
  <si>
    <t>MapBiomas alert presence is a landscape-risk signal only. Sorriso, Nova Mutum and Lucas do Rio Verde show alert records across more than one biome in the uploaded MapBiomas data, so farm/source-level spatial joins are preferable to assigning one biome to all transactions in a municipality.</t>
  </si>
  <si>
    <t>supplier_id</t>
  </si>
  <si>
    <t>supplier_name</t>
  </si>
  <si>
    <t>supplier_tier</t>
  </si>
  <si>
    <t>country_code</t>
  </si>
  <si>
    <t>municipality_name</t>
  </si>
  <si>
    <t>municipality_code</t>
  </si>
  <si>
    <t>assessment_status</t>
  </si>
  <si>
    <t>assessment_date</t>
  </si>
  <si>
    <t>assessment_expiry_date</t>
  </si>
  <si>
    <t>grievance_mechanism_flag</t>
  </si>
  <si>
    <t>supplier_ghg_data_available</t>
  </si>
  <si>
    <t>critical_supplier_flag</t>
  </si>
  <si>
    <t>notes</t>
  </si>
  <si>
    <t>SUP-0001</t>
  </si>
  <si>
    <t>Synthetic Soy Supplier 01</t>
  </si>
  <si>
    <t>Tier 1</t>
  </si>
  <si>
    <t>BR</t>
  </si>
  <si>
    <t>Sorriso</t>
  </si>
  <si>
    <t>5107925</t>
  </si>
  <si>
    <t>Approved</t>
  </si>
  <si>
    <t>Synthetic training record; municipality code to be verified against IBGE.</t>
  </si>
  <si>
    <t>SUP-0002</t>
  </si>
  <si>
    <t>Synthetic Soy Supplier 02</t>
  </si>
  <si>
    <t>Sinop</t>
  </si>
  <si>
    <t>5107909</t>
  </si>
  <si>
    <t>SUP-0003</t>
  </si>
  <si>
    <t>Synthetic Soy Supplier 03</t>
  </si>
  <si>
    <t>Lucas do Rio Verde</t>
  </si>
  <si>
    <t>5105259</t>
  </si>
  <si>
    <t>Pending</t>
  </si>
  <si>
    <t>SUP-0004</t>
  </si>
  <si>
    <t>Synthetic Soy Supplier 04</t>
  </si>
  <si>
    <t>Nova Mutum</t>
  </si>
  <si>
    <t>5106224</t>
  </si>
  <si>
    <t>Expired</t>
  </si>
  <si>
    <t>SUP-0005</t>
  </si>
  <si>
    <t>Synthetic Soy Supplier 05</t>
  </si>
  <si>
    <t>Rondonópolis</t>
  </si>
  <si>
    <t>5107602</t>
  </si>
  <si>
    <t>SUP-0006</t>
  </si>
  <si>
    <t>Synthetic Soy Supplier 06</t>
  </si>
  <si>
    <t>Rio Verde</t>
  </si>
  <si>
    <t>5218805</t>
  </si>
  <si>
    <t>SUP-0007</t>
  </si>
  <si>
    <t>Synthetic Soy Supplier 07</t>
  </si>
  <si>
    <t>Balsas</t>
  </si>
  <si>
    <t>2101400</t>
  </si>
  <si>
    <t>SUP-0008</t>
  </si>
  <si>
    <t>Synthetic Soy Supplier 08</t>
  </si>
  <si>
    <t>Uruçuí</t>
  </si>
  <si>
    <t>2211209</t>
  </si>
  <si>
    <t>SUP-0009</t>
  </si>
  <si>
    <t>Synthetic Soy Supplier 09</t>
  </si>
  <si>
    <t>Luís Eduardo Magalhães</t>
  </si>
  <si>
    <t>2919553</t>
  </si>
  <si>
    <t>SUP-0010</t>
  </si>
  <si>
    <t>Synthetic Soy Supplier 10</t>
  </si>
  <si>
    <t>Formosa do Rio Preto</t>
  </si>
  <si>
    <t>2911105</t>
  </si>
  <si>
    <t>SUP-0011</t>
  </si>
  <si>
    <t>Synthetic Soy Supplier 11</t>
  </si>
  <si>
    <t>SUP-0012</t>
  </si>
  <si>
    <t>Synthetic Soy Supplier 12</t>
  </si>
  <si>
    <t>SUP-0013</t>
  </si>
  <si>
    <t>Synthetic Soy Supplier 13</t>
  </si>
  <si>
    <t>SUP-0014</t>
  </si>
  <si>
    <t>Synthetic Soy Supplier 14</t>
  </si>
  <si>
    <t>SUP-0015</t>
  </si>
  <si>
    <t>Synthetic Soy Supplier 15</t>
  </si>
  <si>
    <t>SUP-0016</t>
  </si>
  <si>
    <t>Synthetic Soy Supplier 16</t>
  </si>
  <si>
    <t>Tier 2+</t>
  </si>
  <si>
    <t>SUP-0017</t>
  </si>
  <si>
    <t>Synthetic Soy Supplier 17</t>
  </si>
  <si>
    <t>SUP-0018</t>
  </si>
  <si>
    <t>Synthetic Soy Supplier 18</t>
  </si>
  <si>
    <t>SUP-0019</t>
  </si>
  <si>
    <t>Synthetic Soy Supplier 19</t>
  </si>
  <si>
    <t>SUP-0020</t>
  </si>
  <si>
    <t>Synthetic Soy Supplier 20</t>
  </si>
  <si>
    <t>material_id</t>
  </si>
  <si>
    <t>material_name</t>
  </si>
  <si>
    <t>material_form</t>
  </si>
  <si>
    <t>scope3_category</t>
  </si>
  <si>
    <t>material_group</t>
  </si>
  <si>
    <t>in_scope_flag</t>
  </si>
  <si>
    <t>MAT-SOY-001</t>
  </si>
  <si>
    <t>Soybeans</t>
  </si>
  <si>
    <t>Whole beans</t>
  </si>
  <si>
    <t>Category 1 - Purchased Goods and Services</t>
  </si>
  <si>
    <t>Soy</t>
  </si>
  <si>
    <t>Synthetic training master record.</t>
  </si>
  <si>
    <t>MAT-SOY-002</t>
  </si>
  <si>
    <t>Soy white flakes</t>
  </si>
  <si>
    <t>Processed flakes</t>
  </si>
  <si>
    <t>evidence_id</t>
  </si>
  <si>
    <t>farm_id</t>
  </si>
  <si>
    <t>evidence_type</t>
  </si>
  <si>
    <t>document_reference</t>
  </si>
  <si>
    <t>issue_date</t>
  </si>
  <si>
    <t>expiry_date</t>
  </si>
  <si>
    <t>verification_status</t>
  </si>
  <si>
    <t>review_status</t>
  </si>
  <si>
    <t>reviewer</t>
  </si>
  <si>
    <t>EVID-0001</t>
  </si>
  <si>
    <t>Supplier assessment</t>
  </si>
  <si>
    <t>SYNTH-SUPPLIER_ASSESSMENT-001</t>
  </si>
  <si>
    <t>Verified</t>
  </si>
  <si>
    <t>Reviewer-1</t>
  </si>
  <si>
    <t>Synthetic evidence record for governance testing.</t>
  </si>
  <si>
    <t>EVID-0002</t>
  </si>
  <si>
    <t>FARM-0002</t>
  </si>
  <si>
    <t>DCF declaration</t>
  </si>
  <si>
    <t>SYNTH-DCF_DECLARATION-002</t>
  </si>
  <si>
    <t>Reviewer-2</t>
  </si>
  <si>
    <t>EVID-0003</t>
  </si>
  <si>
    <t>Certification</t>
  </si>
  <si>
    <t>SYNTH-CERTIFICATION-003</t>
  </si>
  <si>
    <t>Reviewer-3</t>
  </si>
  <si>
    <t>EVID-0004</t>
  </si>
  <si>
    <t>FARM-0004</t>
  </si>
  <si>
    <t>Traceability document</t>
  </si>
  <si>
    <t>SYNTH-TRACEABILITY_DOCUMENT-004</t>
  </si>
  <si>
    <t>Reviewer-4</t>
  </si>
  <si>
    <t>EVID-0005</t>
  </si>
  <si>
    <t>Supplier GHG report</t>
  </si>
  <si>
    <t>SYNTH-SUPPLIER_GHG_REPORT-005</t>
  </si>
  <si>
    <t>Unverified</t>
  </si>
  <si>
    <t>EVID-0006</t>
  </si>
  <si>
    <t>SYNTH-SUPPLIER_ASSESSMENT-006</t>
  </si>
  <si>
    <t>Rejected</t>
  </si>
  <si>
    <t>EVID-0007</t>
  </si>
  <si>
    <t>FARM-0007</t>
  </si>
  <si>
    <t>SYNTH-DCF_DECLARATION-007</t>
  </si>
  <si>
    <t>EVID-0008</t>
  </si>
  <si>
    <t>SYNTH-CERTIFICATION-008</t>
  </si>
  <si>
    <t>EVID-0009</t>
  </si>
  <si>
    <t>FARM-0009</t>
  </si>
  <si>
    <t>SYNTH-TRACEABILITY_DOCUMENT-009</t>
  </si>
  <si>
    <t>EVID-0010</t>
  </si>
  <si>
    <t>SYNTH-SUPPLIER_GHG_REPORT-010</t>
  </si>
  <si>
    <t>EVID-0011</t>
  </si>
  <si>
    <t>SYNTH-SUPPLIER_ASSESSMENT-011</t>
  </si>
  <si>
    <t>EVID-0012</t>
  </si>
  <si>
    <t>FARM-0012</t>
  </si>
  <si>
    <t>SYNTH-DCF_DECLARATION-012</t>
  </si>
  <si>
    <t>EVID-0013</t>
  </si>
  <si>
    <t>SYNTH-CERTIFICATION-013</t>
  </si>
  <si>
    <t>EVID-0014</t>
  </si>
  <si>
    <t>FARM-0014</t>
  </si>
  <si>
    <t>SYNTH-TRACEABILITY_DOCUMENT-014</t>
  </si>
  <si>
    <t>EVID-0015</t>
  </si>
  <si>
    <t>SYNTH-SUPPLIER_GHG_REPORT-015</t>
  </si>
  <si>
    <t>EVID-0016</t>
  </si>
  <si>
    <t>SYNTH-SUPPLIER_ASSESSMENT-016</t>
  </si>
  <si>
    <t>EVID-0017</t>
  </si>
  <si>
    <t>FARM-0017</t>
  </si>
  <si>
    <t>SYNTH-DCF_DECLARATION-017</t>
  </si>
  <si>
    <t>EVID-0018</t>
  </si>
  <si>
    <t>SYNTH-CERTIFICATION-018</t>
  </si>
  <si>
    <t>EVID-0019</t>
  </si>
  <si>
    <t>FARM-0019</t>
  </si>
  <si>
    <t>SYNTH-TRACEABILITY_DOCUMENT-019</t>
  </si>
  <si>
    <t>EVID-0020</t>
  </si>
  <si>
    <t>SYNTH-SUPPLIER_GHG_REPORT-020</t>
  </si>
  <si>
    <t>EVID-0021</t>
  </si>
  <si>
    <t>SYNTH-SUPPLIER_ASSESSMENT-021</t>
  </si>
  <si>
    <t>EVID-0022</t>
  </si>
  <si>
    <t>SYNTH-DCF_DECLARATION-022</t>
  </si>
  <si>
    <t>EVID-0023</t>
  </si>
  <si>
    <t>SYNTH-CERTIFICATION-023</t>
  </si>
  <si>
    <t>EVID-0024</t>
  </si>
  <si>
    <t>SYNTH-TRACEABILITY_DOCUMENT-024</t>
  </si>
  <si>
    <t>EVID-0025</t>
  </si>
  <si>
    <t>SYNTH-SUPPLIER_GHG_REPORT-025</t>
  </si>
  <si>
    <t>EVID-0026</t>
  </si>
  <si>
    <t>SYNTH-SUPPLIER_ASSESSMENT-026</t>
  </si>
  <si>
    <t>EVID-0027</t>
  </si>
  <si>
    <t>SYNTH-DCF_DECLARATION-027</t>
  </si>
  <si>
    <t>EVID-0028</t>
  </si>
  <si>
    <t>SYNTH-CERTIFICATION-028</t>
  </si>
  <si>
    <t>EVID-0029</t>
  </si>
  <si>
    <t>SYNTH-TRACEABILITY_DOCUMENT-029</t>
  </si>
  <si>
    <t>EVID-0030</t>
  </si>
  <si>
    <t>SYNTH-SUPPLIER_GHG_REPORT-030</t>
  </si>
  <si>
    <t>emission_factor_id</t>
  </si>
  <si>
    <t>factor_name</t>
  </si>
  <si>
    <t>sector_code</t>
  </si>
  <si>
    <t>factor_value</t>
  </si>
  <si>
    <t>factor_unit</t>
  </si>
  <si>
    <t>factor_year</t>
  </si>
  <si>
    <t>factor_source</t>
  </si>
  <si>
    <t>factor_status</t>
  </si>
  <si>
    <t>EF-PENDING-001</t>
  </si>
  <si>
    <t>Soy / oilseed spend-based factor - pending EPA mapping</t>
  </si>
  <si>
    <t>EPA USEEIO / Supply Chain GHG Factors</t>
  </si>
  <si>
    <t>Populate from downloaded EPA source before carbon calculation.</t>
  </si>
  <si>
    <t>EF-PENDING-002</t>
  </si>
  <si>
    <t>Soy / oilseed activity-based factor - pending approved source</t>
  </si>
  <si>
    <t>Populate only from an approved documented factor source.</t>
  </si>
  <si>
    <t>transaction_id</t>
  </si>
  <si>
    <t>invoice_date</t>
  </si>
  <si>
    <t>reporting_year</t>
  </si>
  <si>
    <t>latitude</t>
  </si>
  <si>
    <t>longitude</t>
  </si>
  <si>
    <t>quantity</t>
  </si>
  <si>
    <t>quantity_unit</t>
  </si>
  <si>
    <t>spend_local</t>
  </si>
  <si>
    <t>currency</t>
  </si>
  <si>
    <t>fx_rate</t>
  </si>
  <si>
    <t>spend_usd</t>
  </si>
  <si>
    <t>emissions_method</t>
  </si>
  <si>
    <t>reported_emissions_tco2e</t>
  </si>
  <si>
    <t>dcf_status</t>
  </si>
  <si>
    <t>traceability_level</t>
  </si>
  <si>
    <t>manual_override_flag</t>
  </si>
  <si>
    <t>source_system</t>
  </si>
  <si>
    <t>data_version</t>
  </si>
  <si>
    <t>TXN-000001</t>
  </si>
  <si>
    <t>tonne</t>
  </si>
  <si>
    <t>BRL</t>
  </si>
  <si>
    <t>Activity-based</t>
  </si>
  <si>
    <t>CLAIMED_DCF</t>
  </si>
  <si>
    <t>MUNICIPALITY</t>
  </si>
  <si>
    <t>Synthetic ERP</t>
  </si>
  <si>
    <t>v2025.1</t>
  </si>
  <si>
    <t>TXN-000002</t>
  </si>
  <si>
    <t>Supplier-specific</t>
  </si>
  <si>
    <t>NOT_VERIFIED</t>
  </si>
  <si>
    <t>FARM</t>
  </si>
  <si>
    <t>TXN-000003</t>
  </si>
  <si>
    <t>Spend-based</t>
  </si>
  <si>
    <t>UNKNOWN</t>
  </si>
  <si>
    <t>COUNTRY</t>
  </si>
  <si>
    <t>TXN-000004</t>
  </si>
  <si>
    <t>VERIFIED_DCF</t>
  </si>
  <si>
    <t>TXN-000005</t>
  </si>
  <si>
    <t>TXN-000006</t>
  </si>
  <si>
    <t>FARM-0006</t>
  </si>
  <si>
    <t>TXN-000007</t>
  </si>
  <si>
    <t>TXN-000008</t>
  </si>
  <si>
    <t>FARM-0008</t>
  </si>
  <si>
    <t>TXN-000009</t>
  </si>
  <si>
    <t>TXN-000010</t>
  </si>
  <si>
    <t>FARM-0010</t>
  </si>
  <si>
    <t>TXN-000011</t>
  </si>
  <si>
    <t>TXN-000012</t>
  </si>
  <si>
    <t>TXN-000013</t>
  </si>
  <si>
    <t>TXN-000014</t>
  </si>
  <si>
    <t>TXN-000015</t>
  </si>
  <si>
    <t>TXN-000016</t>
  </si>
  <si>
    <t>FARM-0016</t>
  </si>
  <si>
    <t>TXN-000017</t>
  </si>
  <si>
    <t>TXN-000018</t>
  </si>
  <si>
    <t>FARM-0018</t>
  </si>
  <si>
    <t>TXN-000019</t>
  </si>
  <si>
    <t>TXN-000020</t>
  </si>
  <si>
    <t>FARM-0020</t>
  </si>
  <si>
    <t>TXN-000021</t>
  </si>
  <si>
    <t>TXN-000022</t>
  </si>
  <si>
    <t>TXN-000023</t>
  </si>
  <si>
    <t>TXN-000024</t>
  </si>
  <si>
    <t>TXN-000025</t>
  </si>
  <si>
    <t>TXN-000026</t>
  </si>
  <si>
    <t>TXN-000027</t>
  </si>
  <si>
    <t>TXN-000028</t>
  </si>
  <si>
    <t>TXN-000029</t>
  </si>
  <si>
    <t>TXN-000030</t>
  </si>
  <si>
    <t>TXN-000031</t>
  </si>
  <si>
    <t>TXN-000032</t>
  </si>
  <si>
    <t>TXN-000033</t>
  </si>
  <si>
    <t>TXN-000034</t>
  </si>
  <si>
    <t>TXN-000035</t>
  </si>
  <si>
    <t>TXN-000036</t>
  </si>
  <si>
    <t>TXN-000037</t>
  </si>
  <si>
    <t>TXN-000038</t>
  </si>
  <si>
    <t>TXN-000039</t>
  </si>
  <si>
    <t>TXN-000041</t>
  </si>
  <si>
    <t>TXN-000042</t>
  </si>
  <si>
    <t>TXN-000043</t>
  </si>
  <si>
    <t>TXN-000044</t>
  </si>
  <si>
    <t>TXN-000045</t>
  </si>
  <si>
    <t>TXN-000046</t>
  </si>
  <si>
    <t>TXN-000047</t>
  </si>
  <si>
    <t>TXN-000048</t>
  </si>
  <si>
    <t>TXN-000049</t>
  </si>
  <si>
    <t>TXN-000050</t>
  </si>
  <si>
    <t>TXN-000051</t>
  </si>
  <si>
    <t>TXN-000052</t>
  </si>
  <si>
    <t>TXN-000053</t>
  </si>
  <si>
    <t>TXN-000054</t>
  </si>
  <si>
    <t>TXN-000055</t>
  </si>
  <si>
    <t>TXN-000056</t>
  </si>
  <si>
    <t>TXN-000057</t>
  </si>
  <si>
    <t>TXN-000058</t>
  </si>
  <si>
    <t>TXN-000059</t>
  </si>
  <si>
    <t>TXN-000060</t>
  </si>
  <si>
    <t>TXN-000061</t>
  </si>
  <si>
    <t>TXN-000062</t>
  </si>
  <si>
    <t>TXN-000063</t>
  </si>
  <si>
    <t>TXN-000064</t>
  </si>
  <si>
    <t>TXN-000065</t>
  </si>
  <si>
    <t>TXN-000066</t>
  </si>
  <si>
    <t>TXN-000067</t>
  </si>
  <si>
    <t>TXN-000068</t>
  </si>
  <si>
    <t>TXN-000069</t>
  </si>
  <si>
    <t>TXN-000070</t>
  </si>
  <si>
    <t>TXN-000071</t>
  </si>
  <si>
    <t>TXN-000072</t>
  </si>
  <si>
    <t>TXN-000073</t>
  </si>
  <si>
    <t>TXN-000074</t>
  </si>
  <si>
    <t>TXN-000076</t>
  </si>
  <si>
    <t>TXN-000077</t>
  </si>
  <si>
    <t>TXN-000078</t>
  </si>
  <si>
    <t>TXN-000079</t>
  </si>
  <si>
    <t>TXN-000080</t>
  </si>
  <si>
    <t>TXN-000081</t>
  </si>
  <si>
    <t>TXN-000082</t>
  </si>
  <si>
    <t>TXN-000083</t>
  </si>
  <si>
    <t>TXN-000084</t>
  </si>
  <si>
    <t>TXN-000085</t>
  </si>
  <si>
    <t>TXN-000086</t>
  </si>
  <si>
    <t>TXN-000087</t>
  </si>
  <si>
    <t>TXN-000088</t>
  </si>
  <si>
    <t>TXN-000089</t>
  </si>
  <si>
    <t>TXN-000090</t>
  </si>
  <si>
    <t>TXN-000091</t>
  </si>
  <si>
    <t>TXN-000092</t>
  </si>
  <si>
    <t>TXN-000093</t>
  </si>
  <si>
    <t>TXN-000094</t>
  </si>
  <si>
    <t>TXN-000095</t>
  </si>
  <si>
    <t>TXN-000096</t>
  </si>
  <si>
    <t>TXN-000097</t>
  </si>
  <si>
    <t>TXN-000098</t>
  </si>
  <si>
    <t>TXN-000099</t>
  </si>
  <si>
    <t>TXN-000100</t>
  </si>
  <si>
    <t>control_id</t>
  </si>
  <si>
    <t>control_name</t>
  </si>
  <si>
    <t>control_result</t>
  </si>
  <si>
    <t>severity</t>
  </si>
  <si>
    <t>exception_reason</t>
  </si>
  <si>
    <t>resolution</t>
  </si>
  <si>
    <t>reporting_eligibility</t>
  </si>
  <si>
    <t>CTL-001</t>
  </si>
  <si>
    <t>Supplier ID completeness</t>
  </si>
  <si>
    <t>FAIL</t>
  </si>
  <si>
    <t>High</t>
  </si>
  <si>
    <t>supplier_id is missing</t>
  </si>
  <si>
    <t>Open</t>
  </si>
  <si>
    <t>HOLD</t>
  </si>
  <si>
    <t>Synthetic intentional exception.</t>
  </si>
  <si>
    <t>CTL-002</t>
  </si>
  <si>
    <t>Reporting-period cutoff</t>
  </si>
  <si>
    <t>Invoice date falls outside FY2025</t>
  </si>
  <si>
    <t>CTL-003</t>
  </si>
  <si>
    <t>Evidence completeness</t>
  </si>
  <si>
    <t>evidence_id is missing</t>
  </si>
  <si>
    <t>CTL-004</t>
  </si>
  <si>
    <t>Duplicate transaction ID</t>
  </si>
  <si>
    <t>Transaction ID appears more than once</t>
  </si>
  <si>
    <t>Synthetic duplicate to be remediated.</t>
  </si>
  <si>
    <t>CTL-005</t>
  </si>
  <si>
    <t>Manual override approval</t>
  </si>
  <si>
    <t>REVIEW</t>
  </si>
  <si>
    <t>Medium</t>
  </si>
  <si>
    <t>manual_override_flag=TRUE; approval evidence not yet linked</t>
  </si>
  <si>
    <t>ibge_municipality_code</t>
  </si>
  <si>
    <t>state_code</t>
  </si>
  <si>
    <t>state_name</t>
  </si>
  <si>
    <t>area_km2</t>
  </si>
  <si>
    <t>trase_municipality_id</t>
  </si>
  <si>
    <t>trase_biome</t>
  </si>
  <si>
    <t>trase_year</t>
  </si>
  <si>
    <t>trase_volume</t>
  </si>
  <si>
    <t>trase_land_use</t>
  </si>
  <si>
    <t>soy_deforestation_5yr_exposure</t>
  </si>
  <si>
    <t>co2_net_deforestation_exposure</t>
  </si>
  <si>
    <t>co2_gross_deforestation_exposure</t>
  </si>
  <si>
    <t>mapbiomas_alert_count</t>
  </si>
  <si>
    <t>mapbiomas_alert_area_ha</t>
  </si>
  <si>
    <t>mapbiomas_year_range</t>
  </si>
  <si>
    <t>mapbiomas_biomes</t>
  </si>
  <si>
    <t>mapbiomas_primary_pressure</t>
  </si>
  <si>
    <t>biome_complexity_flag</t>
  </si>
  <si>
    <t>source</t>
  </si>
  <si>
    <t>MT</t>
  </si>
  <si>
    <t>Mato Grosso</t>
  </si>
  <si>
    <t>BR-5107925</t>
  </si>
  <si>
    <t>CERRADO</t>
  </si>
  <si>
    <t>2019-2026</t>
  </si>
  <si>
    <t>Cerrado; Amazônia</t>
  </si>
  <si>
    <t>agriculture</t>
  </si>
  <si>
    <t>YES</t>
  </si>
  <si>
    <t>IBGE 2025 + Trase Brazil soy v2.6.1 + MapBiomas Alerta</t>
  </si>
  <si>
    <t>BR-5107909</t>
  </si>
  <si>
    <t>AMAZONIA</t>
  </si>
  <si>
    <t>Amazônia</t>
  </si>
  <si>
    <t>NO</t>
  </si>
  <si>
    <t>BR-5105259</t>
  </si>
  <si>
    <t>2019-2025</t>
  </si>
  <si>
    <t>BR-5106224</t>
  </si>
  <si>
    <t>BR-5107602</t>
  </si>
  <si>
    <t>Cerrado</t>
  </si>
  <si>
    <t>GO</t>
  </si>
  <si>
    <t>Goiás</t>
  </si>
  <si>
    <t>BR-5218805</t>
  </si>
  <si>
    <t>MA</t>
  </si>
  <si>
    <t>Maranhão</t>
  </si>
  <si>
    <t>BR-2101400</t>
  </si>
  <si>
    <t>PI</t>
  </si>
  <si>
    <t>Piauí</t>
  </si>
  <si>
    <t>BR-2211209</t>
  </si>
  <si>
    <t>BA</t>
  </si>
  <si>
    <t>Bahia</t>
  </si>
  <si>
    <t>BR-2919553</t>
  </si>
  <si>
    <t>BR-2911105</t>
  </si>
  <si>
    <t>synthetic_name</t>
  </si>
  <si>
    <t>official_ibge_name</t>
  </si>
  <si>
    <t>ibge_code</t>
  </si>
  <si>
    <t>state</t>
  </si>
  <si>
    <t>valid_ibge?</t>
  </si>
  <si>
    <t>present_in_trase_soy?</t>
  </si>
  <si>
    <t>trase_soy_volume</t>
  </si>
  <si>
    <t>mapbiomas_alerts_present?</t>
  </si>
  <si>
    <t>biome_context</t>
  </si>
  <si>
    <t>name_normalization_needed?</t>
  </si>
  <si>
    <t>suitable_for_soy_case?</t>
  </si>
  <si>
    <t>why_suitable</t>
  </si>
  <si>
    <t>caution</t>
  </si>
  <si>
    <t>Trase: CERRADO | MapBiomas: Cerrado, Amazônia</t>
  </si>
  <si>
    <t>Valid IBGE municipality and positive soy volume in the uploaded Trase dataset; useful for joining public sourcing-risk indicators. MapBiomas also contains deforestation alerts for this municipality, supporting landscape-risk screening.</t>
  </si>
  <si>
    <t>Landscape-level signals only; do not infer that a synthetic supplier caused deforestation. Municipality has alerts in more than one biome; use exact spatial overlay for farm/source points rather than assigning one biome to every supplier record.</t>
  </si>
  <si>
    <t>Trase: AMAZONIA | MapBiomas: Amazônia</t>
  </si>
  <si>
    <t>Landscape-level signals only; do not infer that a synthetic supplier caused deforestation.</t>
  </si>
  <si>
    <t>Rondonopolis</t>
  </si>
  <si>
    <t>Trase: CERRADO | MapBiomas: Cerrado</t>
  </si>
  <si>
    <t>Urucui</t>
  </si>
  <si>
    <t>Luis Eduardo Magalhaes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</si>
</sst>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\$#,##0.00"/>
    <numFmt numFmtId="167" formatCode="#,##0.00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4C5C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3A6B3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5" borderId="0" xfId="0" applyFont="1" applyFill="1" applyAlignment="1">
      <alignment wrapText="1"/>
    </xf>
    <xf numFmtId="0" fontId="3" fillId="6" borderId="0" xfId="0" applyFont="1" applyFill="1" applyAlignment="1">
      <alignment horizontal="center" vertical="center" wrapText="1"/>
    </xf>
    <xf numFmtId="167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DE2E1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MasterTable" displayName="SupplierMasterTable" ref="A1:M21" totalsRowShown="0">
  <tableColumns count="13">
    <tableColumn id="1" xr3:uid="{00000000-0010-0000-0000-000001000000}" name="supplier_id"/>
    <tableColumn id="2" xr3:uid="{00000000-0010-0000-0000-000002000000}" name="supplier_name"/>
    <tableColumn id="3" xr3:uid="{00000000-0010-0000-0000-000003000000}" name="supplier_tier"/>
    <tableColumn id="4" xr3:uid="{00000000-0010-0000-0000-000004000000}" name="country_code"/>
    <tableColumn id="5" xr3:uid="{00000000-0010-0000-0000-000005000000}" name="municipality_name"/>
    <tableColumn id="6" xr3:uid="{00000000-0010-0000-0000-000006000000}" name="municipality_code"/>
    <tableColumn id="7" xr3:uid="{00000000-0010-0000-0000-000007000000}" name="assessment_status"/>
    <tableColumn id="8" xr3:uid="{00000000-0010-0000-0000-000008000000}" name="assessment_date"/>
    <tableColumn id="9" xr3:uid="{00000000-0010-0000-0000-000009000000}" name="assessment_expiry_date"/>
    <tableColumn id="10" xr3:uid="{00000000-0010-0000-0000-00000A000000}" name="grievance_mechanism_flag"/>
    <tableColumn id="11" xr3:uid="{00000000-0010-0000-0000-00000B000000}" name="supplier_ghg_data_available"/>
    <tableColumn id="12" xr3:uid="{00000000-0010-0000-0000-00000C000000}" name="critical_supplier_flag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erialMasterTable" displayName="MaterialMasterTable" ref="A1:G3" totalsRowShown="0">
  <tableColumns count="7">
    <tableColumn id="1" xr3:uid="{00000000-0010-0000-0100-000001000000}" name="material_id"/>
    <tableColumn id="2" xr3:uid="{00000000-0010-0000-0100-000002000000}" name="material_name"/>
    <tableColumn id="3" xr3:uid="{00000000-0010-0000-0100-000003000000}" name="material_form"/>
    <tableColumn id="4" xr3:uid="{00000000-0010-0000-0100-000004000000}" name="scope3_category"/>
    <tableColumn id="5" xr3:uid="{00000000-0010-0000-0100-000005000000}" name="material_group"/>
    <tableColumn id="6" xr3:uid="{00000000-0010-0000-0100-000006000000}" name="in_scope_flag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RegisterTable" displayName="EvidenceRegisterTable" ref="A1:K31" totalsRowShown="0">
  <tableColumns count="11">
    <tableColumn id="1" xr3:uid="{00000000-0010-0000-0200-000001000000}" name="evidence_id"/>
    <tableColumn id="2" xr3:uid="{00000000-0010-0000-0200-000002000000}" name="supplier_id"/>
    <tableColumn id="3" xr3:uid="{00000000-0010-0000-0200-000003000000}" name="farm_id"/>
    <tableColumn id="4" xr3:uid="{00000000-0010-0000-0200-000004000000}" name="evidence_type"/>
    <tableColumn id="5" xr3:uid="{00000000-0010-0000-0200-000005000000}" name="document_reference"/>
    <tableColumn id="6" xr3:uid="{00000000-0010-0000-0200-000006000000}" name="issue_date"/>
    <tableColumn id="7" xr3:uid="{00000000-0010-0000-0200-000007000000}" name="expiry_date"/>
    <tableColumn id="8" xr3:uid="{00000000-0010-0000-0200-000008000000}" name="verification_status"/>
    <tableColumn id="9" xr3:uid="{00000000-0010-0000-0200-000009000000}" name="review_status"/>
    <tableColumn id="10" xr3:uid="{00000000-0010-0000-0200-00000A000000}" name="reviewer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missionFactorMasterTable" displayName="EmissionFactorMasterTable" ref="A1:I3" totalsRowShown="0">
  <tableColumns count="9">
    <tableColumn id="1" xr3:uid="{00000000-0010-0000-0300-000001000000}" name="emission_factor_id"/>
    <tableColumn id="2" xr3:uid="{00000000-0010-0000-0300-000002000000}" name="factor_name"/>
    <tableColumn id="3" xr3:uid="{00000000-0010-0000-0300-000003000000}" name="sector_code"/>
    <tableColumn id="4" xr3:uid="{00000000-0010-0000-0300-000004000000}" name="factor_value"/>
    <tableColumn id="5" xr3:uid="{00000000-0010-0000-0300-000005000000}" name="factor_unit"/>
    <tableColumn id="6" xr3:uid="{00000000-0010-0000-0300-000006000000}" name="factor_year"/>
    <tableColumn id="7" xr3:uid="{00000000-0010-0000-0300-000007000000}" name="factor_source"/>
    <tableColumn id="8" xr3:uid="{00000000-0010-0000-0300-000008000000}" name="factor_status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curementTransactionsTable" displayName="ProcurementTransactionsTable" ref="A1:Z101" totalsRowShown="0">
  <tableColumns count="26">
    <tableColumn id="1" xr3:uid="{00000000-0010-0000-0400-000001000000}" name="transaction_id"/>
    <tableColumn id="2" xr3:uid="{00000000-0010-0000-0400-000002000000}" name="supplier_id"/>
    <tableColumn id="3" xr3:uid="{00000000-0010-0000-0400-000003000000}" name="material_id"/>
    <tableColumn id="4" xr3:uid="{00000000-0010-0000-0400-000004000000}" name="invoice_date"/>
    <tableColumn id="5" xr3:uid="{00000000-0010-0000-0400-000005000000}" name="reporting_year"/>
    <tableColumn id="6" xr3:uid="{00000000-0010-0000-0400-000006000000}" name="country_code"/>
    <tableColumn id="7" xr3:uid="{00000000-0010-0000-0400-000007000000}" name="municipality_name"/>
    <tableColumn id="8" xr3:uid="{00000000-0010-0000-0400-000008000000}" name="municipality_code"/>
    <tableColumn id="9" xr3:uid="{00000000-0010-0000-0400-000009000000}" name="farm_id"/>
    <tableColumn id="10" xr3:uid="{00000000-0010-0000-0400-00000A000000}" name="latitude"/>
    <tableColumn id="11" xr3:uid="{00000000-0010-0000-0400-00000B000000}" name="longitude"/>
    <tableColumn id="12" xr3:uid="{00000000-0010-0000-0400-00000C000000}" name="quantity"/>
    <tableColumn id="13" xr3:uid="{00000000-0010-0000-0400-00000D000000}" name="quantity_unit"/>
    <tableColumn id="14" xr3:uid="{00000000-0010-0000-0400-00000E000000}" name="spend_local"/>
    <tableColumn id="15" xr3:uid="{00000000-0010-0000-0400-00000F000000}" name="currency"/>
    <tableColumn id="16" xr3:uid="{00000000-0010-0000-0400-000010000000}" name="fx_rate"/>
    <tableColumn id="17" xr3:uid="{00000000-0010-0000-0400-000011000000}" name="spend_usd"/>
    <tableColumn id="18" xr3:uid="{00000000-0010-0000-0400-000012000000}" name="emissions_method"/>
    <tableColumn id="19" xr3:uid="{00000000-0010-0000-0400-000013000000}" name="emission_factor_id"/>
    <tableColumn id="20" xr3:uid="{00000000-0010-0000-0400-000014000000}" name="reported_emissions_tco2e"/>
    <tableColumn id="21" xr3:uid="{00000000-0010-0000-0400-000015000000}" name="dcf_status"/>
    <tableColumn id="22" xr3:uid="{00000000-0010-0000-0400-000016000000}" name="traceability_level"/>
    <tableColumn id="23" xr3:uid="{00000000-0010-0000-0400-000017000000}" name="evidence_id"/>
    <tableColumn id="24" xr3:uid="{00000000-0010-0000-0400-000018000000}" name="manual_override_flag"/>
    <tableColumn id="25" xr3:uid="{00000000-0010-0000-0400-000019000000}" name="source_system"/>
    <tableColumn id="26" xr3:uid="{00000000-0010-0000-0400-00001A000000}" name="data_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rolResultsTable" displayName="ControlResultsTable" ref="A1:K11" totalsRowShown="0">
  <tableColumns count="11">
    <tableColumn id="1" xr3:uid="{00000000-0010-0000-0500-000001000000}" name="transaction_id"/>
    <tableColumn id="2" xr3:uid="{00000000-0010-0000-0500-000002000000}" name="control_id"/>
    <tableColumn id="3" xr3:uid="{00000000-0010-0000-0500-000003000000}" name="control_name"/>
    <tableColumn id="4" xr3:uid="{00000000-0010-0000-0500-000004000000}" name="control_result"/>
    <tableColumn id="5" xr3:uid="{00000000-0010-0000-0500-000005000000}" name="severity"/>
    <tableColumn id="6" xr3:uid="{00000000-0010-0000-0500-000006000000}" name="exception_reason"/>
    <tableColumn id="7" xr3:uid="{00000000-0010-0000-0500-000007000000}" name="review_status"/>
    <tableColumn id="8" xr3:uid="{00000000-0010-0000-0500-000008000000}" name="reviewer"/>
    <tableColumn id="9" xr3:uid="{00000000-0010-0000-0500-000009000000}" name="resolution"/>
    <tableColumn id="10" xr3:uid="{00000000-0010-0000-0500-00000A000000}" name="reporting_eligibility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unicipalityReferenceTable" displayName="MunicipalityReferenceTable" ref="A1:N11" totalsRowShown="0">
  <tableColumns count="14">
    <tableColumn id="1" xr3:uid="{00000000-0010-0000-0600-000001000000}" name="ibge_municipality_code"/>
    <tableColumn id="2" xr3:uid="{00000000-0010-0000-0600-000002000000}" name="municipality_name"/>
    <tableColumn id="3" xr3:uid="{00000000-0010-0000-0600-000003000000}" name="state_code"/>
    <tableColumn id="4" xr3:uid="{00000000-0010-0000-0600-000004000000}" name="state_name"/>
    <tableColumn id="5" xr3:uid="{00000000-0010-0000-0600-000005000000}" name="area_km2"/>
    <tableColumn id="6" xr3:uid="{00000000-0010-0000-0600-000006000000}" name="trase_municipality_id"/>
    <tableColumn id="7" xr3:uid="{00000000-0010-0000-0600-000007000000}" name="trase_biome"/>
    <tableColumn id="8" xr3:uid="{00000000-0010-0000-0600-000008000000}" name="trase_year"/>
    <tableColumn id="9" xr3:uid="{00000000-0010-0000-0600-000009000000}" name="trase_volume"/>
    <tableColumn id="10" xr3:uid="{00000000-0010-0000-0600-00000A000000}" name="trase_land_use"/>
    <tableColumn id="11" xr3:uid="{00000000-0010-0000-0600-00000B000000}" name="soy_deforestation_5yr_exposure"/>
    <tableColumn id="12" xr3:uid="{00000000-0010-0000-0600-00000C000000}" name="co2_net_deforestation_exposure"/>
    <tableColumn id="13" xr3:uid="{00000000-0010-0000-0600-00000D000000}" name="co2_gross_deforestation_exposure"/>
    <tableColumn id="14" xr3:uid="{00000000-0010-0000-0600-00000E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unicipalityValidationTable" displayName="MunicipalityValidationTable" ref="A1:P11" totalsRowShown="0">
  <tableColumns count="16">
    <tableColumn id="1" xr3:uid="{00000000-0010-0000-0800-000001000000}" name="synthetic_name"/>
    <tableColumn id="2" xr3:uid="{00000000-0010-0000-0800-000002000000}" name="official_ibge_name"/>
    <tableColumn id="3" xr3:uid="{00000000-0010-0000-0800-000003000000}" name="ibge_code"/>
    <tableColumn id="4" xr3:uid="{00000000-0010-0000-0800-000004000000}" name="state"/>
    <tableColumn id="5" xr3:uid="{00000000-0010-0000-0800-000005000000}" name="valid_ibge?"/>
    <tableColumn id="6" xr3:uid="{00000000-0010-0000-0800-000006000000}" name="present_in_trase_soy?"/>
    <tableColumn id="7" xr3:uid="{00000000-0010-0000-0800-000007000000}" name="trase_year"/>
    <tableColumn id="8" xr3:uid="{00000000-0010-0000-0800-000008000000}" name="trase_soy_volume"/>
    <tableColumn id="9" xr3:uid="{00000000-0010-0000-0800-000009000000}" name="mapbiomas_alerts_present?"/>
    <tableColumn id="10" xr3:uid="{00000000-0010-0000-0800-00000A000000}" name="mapbiomas_alert_count"/>
    <tableColumn id="11" xr3:uid="{00000000-0010-0000-0800-00000B000000}" name="mapbiomas_alert_area_ha"/>
    <tableColumn id="12" xr3:uid="{00000000-0010-0000-0800-00000C000000}" name="biome_context"/>
    <tableColumn id="13" xr3:uid="{00000000-0010-0000-0800-00000D000000}" name="name_normalization_needed?"/>
    <tableColumn id="14" xr3:uid="{00000000-0010-0000-0800-00000E000000}" name="suitable_for_soy_case?"/>
    <tableColumn id="15" xr3:uid="{00000000-0010-0000-0800-00000F000000}" name="why_suitable"/>
    <tableColumn id="16" xr3:uid="{00000000-0010-0000-0800-000010000000}" name="ca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6" sqref="B6"/>
    </sheetView>
  </sheetViews>
  <sheetFormatPr defaultRowHeight="14.25"/>
  <cols>
    <col min="1" max="1" width="24" customWidth="1"/>
    <col min="2" max="2" width="95" customWidth="1"/>
  </cols>
  <sheetData>
    <row r="1" spans="1:2" ht="32.1" customHeight="1">
      <c r="A1" s="1" t="s">
        <v>0</v>
      </c>
    </row>
    <row r="3" spans="1:2" ht="51.95" customHeight="1">
      <c r="A3" s="2" t="s">
        <v>1</v>
      </c>
      <c r="B3" s="3" t="s">
        <v>2</v>
      </c>
    </row>
    <row r="4" spans="1:2" ht="51.95" customHeight="1">
      <c r="A4" s="2" t="s">
        <v>3</v>
      </c>
      <c r="B4" s="3" t="s">
        <v>4</v>
      </c>
    </row>
    <row r="5" spans="1:2" ht="51.95" customHeight="1">
      <c r="A5" s="2" t="s">
        <v>5</v>
      </c>
      <c r="B5" s="3" t="s">
        <v>6</v>
      </c>
    </row>
    <row r="6" spans="1:2" ht="51.95" customHeight="1">
      <c r="A6" s="2" t="s">
        <v>7</v>
      </c>
      <c r="B6" s="3" t="s">
        <v>8</v>
      </c>
    </row>
    <row r="7" spans="1:2" ht="51.95" customHeight="1">
      <c r="A7" s="2" t="s">
        <v>9</v>
      </c>
      <c r="B7" s="3" t="s">
        <v>10</v>
      </c>
    </row>
    <row r="9" spans="1:2" ht="54.95" customHeight="1">
      <c r="A9" s="10" t="s">
        <v>11</v>
      </c>
      <c r="B9" s="3" t="s">
        <v>12</v>
      </c>
    </row>
    <row r="10" spans="1:2" ht="54.95" customHeight="1">
      <c r="A10" s="10" t="s">
        <v>13</v>
      </c>
      <c r="B10" s="3" t="s">
        <v>14</v>
      </c>
    </row>
    <row r="11" spans="1:2" ht="54.95" customHeight="1">
      <c r="A11" s="10" t="s">
        <v>15</v>
      </c>
      <c r="B11" s="3" t="s">
        <v>16</v>
      </c>
    </row>
    <row r="12" spans="1:2" ht="54.95" customHeight="1">
      <c r="A12" s="10" t="s">
        <v>17</v>
      </c>
      <c r="B12" s="3" t="s">
        <v>18</v>
      </c>
    </row>
    <row r="14" spans="1:2" ht="62.1" customHeight="1">
      <c r="A14" s="15" t="s">
        <v>19</v>
      </c>
      <c r="B14" s="3" t="s">
        <v>20</v>
      </c>
    </row>
    <row r="15" spans="1:2" ht="62.1" customHeight="1">
      <c r="A15" s="15" t="s">
        <v>21</v>
      </c>
      <c r="B15" s="3" t="s">
        <v>22</v>
      </c>
    </row>
    <row r="16" spans="1:2" ht="62.1" customHeight="1">
      <c r="A16" s="15" t="s">
        <v>23</v>
      </c>
      <c r="B16" s="3" t="s">
        <v>24</v>
      </c>
    </row>
    <row r="17" spans="1:2" ht="62.1" customHeight="1">
      <c r="A17" s="15" t="s">
        <v>25</v>
      </c>
      <c r="B1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/>
  </sheetViews>
  <sheetFormatPr defaultRowHeight="14.25"/>
  <cols>
    <col min="1" max="1" width="14" customWidth="1"/>
    <col min="2" max="2" width="28" customWidth="1"/>
    <col min="3" max="3" width="12" customWidth="1"/>
    <col min="4" max="4" width="10" customWidth="1"/>
    <col min="5" max="5" width="25" customWidth="1"/>
    <col min="6" max="6" width="18" customWidth="1"/>
    <col min="7" max="7" width="16" customWidth="1"/>
    <col min="8" max="8" width="14" customWidth="1"/>
    <col min="9" max="9" width="18" customWidth="1"/>
    <col min="10" max="10" width="20" customWidth="1"/>
    <col min="11" max="11" width="22" customWidth="1"/>
    <col min="12" max="12" width="20" customWidth="1"/>
    <col min="13" max="13" width="42" customWidth="1"/>
  </cols>
  <sheetData>
    <row r="1" spans="1:13" ht="30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s="6">
        <v>45679</v>
      </c>
      <c r="I2" s="6">
        <v>46044</v>
      </c>
      <c r="J2" s="5" t="b">
        <v>1</v>
      </c>
      <c r="K2" s="5" t="b">
        <v>0</v>
      </c>
      <c r="L2" s="5" t="b">
        <v>0</v>
      </c>
      <c r="M2" t="s">
        <v>47</v>
      </c>
    </row>
    <row r="3" spans="1:13">
      <c r="A3" t="s">
        <v>48</v>
      </c>
      <c r="B3" t="s">
        <v>49</v>
      </c>
      <c r="C3" t="s">
        <v>42</v>
      </c>
      <c r="D3" t="s">
        <v>43</v>
      </c>
      <c r="E3" t="s">
        <v>50</v>
      </c>
      <c r="F3" t="s">
        <v>51</v>
      </c>
      <c r="G3" t="s">
        <v>46</v>
      </c>
      <c r="H3" s="6">
        <v>45686</v>
      </c>
      <c r="I3" s="6">
        <v>46051</v>
      </c>
      <c r="J3" s="5" t="b">
        <v>1</v>
      </c>
      <c r="K3" s="5" t="b">
        <v>0</v>
      </c>
      <c r="L3" s="5" t="b">
        <v>1</v>
      </c>
      <c r="M3" t="s">
        <v>47</v>
      </c>
    </row>
    <row r="4" spans="1:13">
      <c r="A4" t="s">
        <v>52</v>
      </c>
      <c r="B4" t="s">
        <v>53</v>
      </c>
      <c r="C4" t="s">
        <v>42</v>
      </c>
      <c r="D4" t="s">
        <v>43</v>
      </c>
      <c r="E4" t="s">
        <v>54</v>
      </c>
      <c r="F4" t="s">
        <v>55</v>
      </c>
      <c r="G4" t="s">
        <v>56</v>
      </c>
      <c r="H4" s="6">
        <v>45693</v>
      </c>
      <c r="I4" s="6">
        <v>46058</v>
      </c>
      <c r="J4" s="5" t="b">
        <v>1</v>
      </c>
      <c r="K4" s="5" t="b">
        <v>1</v>
      </c>
      <c r="L4" s="5" t="b">
        <v>0</v>
      </c>
      <c r="M4" t="s">
        <v>47</v>
      </c>
    </row>
    <row r="5" spans="1:13">
      <c r="A5" t="s">
        <v>57</v>
      </c>
      <c r="B5" t="s">
        <v>58</v>
      </c>
      <c r="C5" t="s">
        <v>42</v>
      </c>
      <c r="D5" t="s">
        <v>43</v>
      </c>
      <c r="E5" t="s">
        <v>59</v>
      </c>
      <c r="F5" t="s">
        <v>60</v>
      </c>
      <c r="G5" t="s">
        <v>61</v>
      </c>
      <c r="H5" s="6">
        <v>45700</v>
      </c>
      <c r="I5" s="6">
        <v>46065</v>
      </c>
      <c r="J5" s="5" t="b">
        <v>0</v>
      </c>
      <c r="K5" s="5" t="b">
        <v>0</v>
      </c>
      <c r="L5" s="5" t="b">
        <v>0</v>
      </c>
      <c r="M5" t="s">
        <v>47</v>
      </c>
    </row>
    <row r="6" spans="1:13">
      <c r="A6" t="s">
        <v>62</v>
      </c>
      <c r="B6" t="s">
        <v>63</v>
      </c>
      <c r="C6" t="s">
        <v>42</v>
      </c>
      <c r="D6" t="s">
        <v>43</v>
      </c>
      <c r="E6" t="s">
        <v>64</v>
      </c>
      <c r="F6" t="s">
        <v>65</v>
      </c>
      <c r="G6" t="s">
        <v>46</v>
      </c>
      <c r="H6" s="6">
        <v>45707</v>
      </c>
      <c r="I6" s="6">
        <v>46072</v>
      </c>
      <c r="J6" s="5" t="b">
        <v>1</v>
      </c>
      <c r="K6" s="5" t="b">
        <v>0</v>
      </c>
      <c r="L6" s="5" t="b">
        <v>1</v>
      </c>
      <c r="M6" t="s">
        <v>47</v>
      </c>
    </row>
    <row r="7" spans="1:13">
      <c r="A7" t="s">
        <v>66</v>
      </c>
      <c r="B7" t="s">
        <v>67</v>
      </c>
      <c r="C7" t="s">
        <v>42</v>
      </c>
      <c r="D7" t="s">
        <v>43</v>
      </c>
      <c r="E7" t="s">
        <v>68</v>
      </c>
      <c r="F7" t="s">
        <v>69</v>
      </c>
      <c r="G7" t="s">
        <v>46</v>
      </c>
      <c r="H7" s="6">
        <v>45714</v>
      </c>
      <c r="I7" s="6">
        <v>46079</v>
      </c>
      <c r="J7" s="5" t="b">
        <v>1</v>
      </c>
      <c r="K7" s="5" t="b">
        <v>1</v>
      </c>
      <c r="L7" s="5" t="b">
        <v>0</v>
      </c>
      <c r="M7" t="s">
        <v>47</v>
      </c>
    </row>
    <row r="8" spans="1:13">
      <c r="A8" t="s">
        <v>70</v>
      </c>
      <c r="B8" t="s">
        <v>71</v>
      </c>
      <c r="C8" t="s">
        <v>42</v>
      </c>
      <c r="D8" t="s">
        <v>43</v>
      </c>
      <c r="E8" t="s">
        <v>72</v>
      </c>
      <c r="F8" t="s">
        <v>73</v>
      </c>
      <c r="G8" t="s">
        <v>46</v>
      </c>
      <c r="H8" s="6">
        <v>45721</v>
      </c>
      <c r="I8" s="6">
        <v>46086</v>
      </c>
      <c r="J8" s="5" t="b">
        <v>1</v>
      </c>
      <c r="K8" s="5" t="b">
        <v>0</v>
      </c>
      <c r="L8" s="5" t="b">
        <v>0</v>
      </c>
      <c r="M8" t="s">
        <v>47</v>
      </c>
    </row>
    <row r="9" spans="1:13">
      <c r="A9" t="s">
        <v>74</v>
      </c>
      <c r="B9" t="s">
        <v>75</v>
      </c>
      <c r="C9" t="s">
        <v>42</v>
      </c>
      <c r="D9" t="s">
        <v>43</v>
      </c>
      <c r="E9" t="s">
        <v>76</v>
      </c>
      <c r="F9" t="s">
        <v>77</v>
      </c>
      <c r="G9" t="s">
        <v>56</v>
      </c>
      <c r="H9" s="6">
        <v>45728</v>
      </c>
      <c r="I9" s="6">
        <v>46093</v>
      </c>
      <c r="J9" s="5" t="b">
        <v>0</v>
      </c>
      <c r="K9" s="5" t="b">
        <v>0</v>
      </c>
      <c r="L9" s="5" t="b">
        <v>1</v>
      </c>
      <c r="M9" t="s">
        <v>47</v>
      </c>
    </row>
    <row r="10" spans="1:13">
      <c r="A10" t="s">
        <v>78</v>
      </c>
      <c r="B10" t="s">
        <v>79</v>
      </c>
      <c r="C10" t="s">
        <v>42</v>
      </c>
      <c r="D10" t="s">
        <v>43</v>
      </c>
      <c r="E10" t="s">
        <v>80</v>
      </c>
      <c r="F10" t="s">
        <v>81</v>
      </c>
      <c r="G10" t="s">
        <v>61</v>
      </c>
      <c r="H10" s="6">
        <v>45735</v>
      </c>
      <c r="I10" s="6">
        <v>46100</v>
      </c>
      <c r="J10" s="5" t="b">
        <v>1</v>
      </c>
      <c r="K10" s="5" t="b">
        <v>1</v>
      </c>
      <c r="L10" s="5" t="b">
        <v>0</v>
      </c>
      <c r="M10" t="s">
        <v>47</v>
      </c>
    </row>
    <row r="11" spans="1:13">
      <c r="A11" t="s">
        <v>82</v>
      </c>
      <c r="B11" t="s">
        <v>83</v>
      </c>
      <c r="C11" t="s">
        <v>42</v>
      </c>
      <c r="D11" t="s">
        <v>43</v>
      </c>
      <c r="E11" t="s">
        <v>84</v>
      </c>
      <c r="F11" t="s">
        <v>85</v>
      </c>
      <c r="G11" t="s">
        <v>46</v>
      </c>
      <c r="H11" s="6">
        <v>45742</v>
      </c>
      <c r="I11" s="6">
        <v>46107</v>
      </c>
      <c r="J11" s="5" t="b">
        <v>1</v>
      </c>
      <c r="K11" s="5" t="b">
        <v>0</v>
      </c>
      <c r="L11" s="5" t="b">
        <v>0</v>
      </c>
      <c r="M11" t="s">
        <v>47</v>
      </c>
    </row>
    <row r="12" spans="1:13">
      <c r="A12" t="s">
        <v>86</v>
      </c>
      <c r="B12" t="s">
        <v>87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s="6">
        <v>45749</v>
      </c>
      <c r="I12" s="6">
        <v>46114</v>
      </c>
      <c r="J12" s="5" t="b">
        <v>1</v>
      </c>
      <c r="K12" s="5" t="b">
        <v>0</v>
      </c>
      <c r="L12" s="5" t="b">
        <v>1</v>
      </c>
      <c r="M12" t="s">
        <v>47</v>
      </c>
    </row>
    <row r="13" spans="1:13">
      <c r="A13" t="s">
        <v>88</v>
      </c>
      <c r="B13" t="s">
        <v>89</v>
      </c>
      <c r="C13" t="s">
        <v>42</v>
      </c>
      <c r="D13" t="s">
        <v>43</v>
      </c>
      <c r="E13" t="s">
        <v>50</v>
      </c>
      <c r="F13" t="s">
        <v>51</v>
      </c>
      <c r="G13" t="s">
        <v>46</v>
      </c>
      <c r="H13" s="6">
        <v>45756</v>
      </c>
      <c r="I13" s="6">
        <v>46121</v>
      </c>
      <c r="J13" s="5" t="b">
        <v>0</v>
      </c>
      <c r="K13" s="5" t="b">
        <v>1</v>
      </c>
      <c r="L13" s="5" t="b">
        <v>0</v>
      </c>
      <c r="M13" t="s">
        <v>47</v>
      </c>
    </row>
    <row r="14" spans="1:13">
      <c r="A14" t="s">
        <v>90</v>
      </c>
      <c r="B14" t="s">
        <v>91</v>
      </c>
      <c r="C14" t="s">
        <v>42</v>
      </c>
      <c r="D14" t="s">
        <v>43</v>
      </c>
      <c r="E14" t="s">
        <v>54</v>
      </c>
      <c r="F14" t="s">
        <v>55</v>
      </c>
      <c r="G14" t="s">
        <v>56</v>
      </c>
      <c r="H14" s="6">
        <v>45763</v>
      </c>
      <c r="I14" s="6">
        <v>46128</v>
      </c>
      <c r="J14" s="5" t="b">
        <v>1</v>
      </c>
      <c r="K14" s="5" t="b">
        <v>0</v>
      </c>
      <c r="L14" s="5" t="b">
        <v>0</v>
      </c>
      <c r="M14" t="s">
        <v>47</v>
      </c>
    </row>
    <row r="15" spans="1:13">
      <c r="A15" t="s">
        <v>92</v>
      </c>
      <c r="B15" t="s">
        <v>93</v>
      </c>
      <c r="C15" t="s">
        <v>42</v>
      </c>
      <c r="D15" t="s">
        <v>43</v>
      </c>
      <c r="E15" t="s">
        <v>59</v>
      </c>
      <c r="F15" t="s">
        <v>60</v>
      </c>
      <c r="G15" t="s">
        <v>61</v>
      </c>
      <c r="H15" s="6">
        <v>45770</v>
      </c>
      <c r="I15" s="6">
        <v>46135</v>
      </c>
      <c r="J15" s="5" t="b">
        <v>1</v>
      </c>
      <c r="K15" s="5" t="b">
        <v>0</v>
      </c>
      <c r="L15" s="5" t="b">
        <v>1</v>
      </c>
      <c r="M15" t="s">
        <v>47</v>
      </c>
    </row>
    <row r="16" spans="1:13">
      <c r="A16" t="s">
        <v>94</v>
      </c>
      <c r="B16" t="s">
        <v>95</v>
      </c>
      <c r="C16" t="s">
        <v>42</v>
      </c>
      <c r="D16" t="s">
        <v>43</v>
      </c>
      <c r="E16" t="s">
        <v>64</v>
      </c>
      <c r="F16" t="s">
        <v>65</v>
      </c>
      <c r="G16" t="s">
        <v>46</v>
      </c>
      <c r="H16" s="6">
        <v>45777</v>
      </c>
      <c r="I16" s="6">
        <v>46142</v>
      </c>
      <c r="J16" s="5" t="b">
        <v>1</v>
      </c>
      <c r="K16" s="5" t="b">
        <v>1</v>
      </c>
      <c r="L16" s="5" t="b">
        <v>0</v>
      </c>
      <c r="M16" t="s">
        <v>47</v>
      </c>
    </row>
    <row r="17" spans="1:13">
      <c r="A17" t="s">
        <v>96</v>
      </c>
      <c r="B17" t="s">
        <v>97</v>
      </c>
      <c r="C17" t="s">
        <v>98</v>
      </c>
      <c r="D17" t="s">
        <v>43</v>
      </c>
      <c r="E17" t="s">
        <v>68</v>
      </c>
      <c r="F17" t="s">
        <v>69</v>
      </c>
      <c r="G17" t="s">
        <v>46</v>
      </c>
      <c r="H17" s="6">
        <v>45784</v>
      </c>
      <c r="I17" s="6">
        <v>46149</v>
      </c>
      <c r="J17" s="5" t="b">
        <v>0</v>
      </c>
      <c r="K17" s="5" t="b">
        <v>0</v>
      </c>
      <c r="L17" s="5" t="b">
        <v>0</v>
      </c>
      <c r="M17" t="s">
        <v>47</v>
      </c>
    </row>
    <row r="18" spans="1:13">
      <c r="A18" t="s">
        <v>99</v>
      </c>
      <c r="B18" t="s">
        <v>100</v>
      </c>
      <c r="C18" t="s">
        <v>98</v>
      </c>
      <c r="D18" t="s">
        <v>43</v>
      </c>
      <c r="E18" t="s">
        <v>72</v>
      </c>
      <c r="F18" t="s">
        <v>73</v>
      </c>
      <c r="G18" t="s">
        <v>46</v>
      </c>
      <c r="H18" s="6">
        <v>45791</v>
      </c>
      <c r="I18" s="6">
        <v>46156</v>
      </c>
      <c r="J18" s="5" t="b">
        <v>1</v>
      </c>
      <c r="K18" s="5" t="b">
        <v>0</v>
      </c>
      <c r="L18" s="5" t="b">
        <v>1</v>
      </c>
      <c r="M18" t="s">
        <v>47</v>
      </c>
    </row>
    <row r="19" spans="1:13">
      <c r="A19" t="s">
        <v>101</v>
      </c>
      <c r="B19" t="s">
        <v>102</v>
      </c>
      <c r="C19" t="s">
        <v>98</v>
      </c>
      <c r="D19" t="s">
        <v>43</v>
      </c>
      <c r="E19" t="s">
        <v>76</v>
      </c>
      <c r="F19" t="s">
        <v>77</v>
      </c>
      <c r="G19" t="s">
        <v>56</v>
      </c>
      <c r="H19" s="6">
        <v>45798</v>
      </c>
      <c r="I19" s="6">
        <v>46163</v>
      </c>
      <c r="J19" s="5" t="b">
        <v>1</v>
      </c>
      <c r="K19" s="5" t="b">
        <v>1</v>
      </c>
      <c r="L19" s="5" t="b">
        <v>0</v>
      </c>
      <c r="M19" t="s">
        <v>47</v>
      </c>
    </row>
    <row r="20" spans="1:13">
      <c r="A20" t="s">
        <v>103</v>
      </c>
      <c r="B20" t="s">
        <v>104</v>
      </c>
      <c r="C20" t="s">
        <v>98</v>
      </c>
      <c r="D20" t="s">
        <v>43</v>
      </c>
      <c r="E20" t="s">
        <v>80</v>
      </c>
      <c r="F20" t="s">
        <v>81</v>
      </c>
      <c r="G20" t="s">
        <v>61</v>
      </c>
      <c r="H20" s="6">
        <v>45805</v>
      </c>
      <c r="I20" s="6">
        <v>46170</v>
      </c>
      <c r="J20" s="5" t="b">
        <v>1</v>
      </c>
      <c r="K20" s="5" t="b">
        <v>0</v>
      </c>
      <c r="L20" s="5" t="b">
        <v>0</v>
      </c>
      <c r="M20" t="s">
        <v>47</v>
      </c>
    </row>
    <row r="21" spans="1:13">
      <c r="A21" t="s">
        <v>105</v>
      </c>
      <c r="B21" t="s">
        <v>106</v>
      </c>
      <c r="C21" t="s">
        <v>98</v>
      </c>
      <c r="D21" t="s">
        <v>43</v>
      </c>
      <c r="E21" t="s">
        <v>84</v>
      </c>
      <c r="F21" t="s">
        <v>85</v>
      </c>
      <c r="G21" t="s">
        <v>46</v>
      </c>
      <c r="H21" s="6">
        <v>45812</v>
      </c>
      <c r="I21" s="6">
        <v>46177</v>
      </c>
      <c r="J21" s="5" t="b">
        <v>0</v>
      </c>
      <c r="K21" s="5" t="b">
        <v>0</v>
      </c>
      <c r="L21" s="5" t="b">
        <v>1</v>
      </c>
      <c r="M21" t="s">
        <v>47</v>
      </c>
    </row>
  </sheetData>
  <dataValidations count="2">
    <dataValidation type="list" sqref="G2:G21" xr:uid="{00000000-0002-0000-0100-000000000000}">
      <formula1>"Approved,Pending,Rejected,Expired"</formula1>
    </dataValidation>
    <dataValidation type="list" sqref="C2:C21" xr:uid="{00000000-0002-0000-0100-000001000000}">
      <formula1>"Tier 1,Tier 2+"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C3" sqref="C3"/>
    </sheetView>
  </sheetViews>
  <sheetFormatPr defaultRowHeight="14.25"/>
  <cols>
    <col min="1" max="1" width="16" customWidth="1"/>
    <col min="2" max="2" width="22" customWidth="1"/>
    <col min="3" max="3" width="20" customWidth="1"/>
    <col min="4" max="4" width="38" customWidth="1"/>
    <col min="5" max="5" width="16" customWidth="1"/>
    <col min="6" max="6" width="14" customWidth="1"/>
    <col min="7" max="7" width="38" customWidth="1"/>
  </cols>
  <sheetData>
    <row r="1" spans="1:7" ht="15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39</v>
      </c>
    </row>
    <row r="2" spans="1:7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s="5" t="b">
        <v>1</v>
      </c>
      <c r="G2" t="s">
        <v>118</v>
      </c>
    </row>
    <row r="3" spans="1:7">
      <c r="A3" t="s">
        <v>119</v>
      </c>
      <c r="B3" t="s">
        <v>120</v>
      </c>
      <c r="C3" t="s">
        <v>121</v>
      </c>
      <c r="D3" t="s">
        <v>116</v>
      </c>
      <c r="E3" t="s">
        <v>117</v>
      </c>
      <c r="F3" s="5" t="b">
        <v>1</v>
      </c>
      <c r="G3" t="s">
        <v>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/>
  </sheetViews>
  <sheetFormatPr defaultRowHeight="14.25"/>
  <cols>
    <col min="1" max="3" width="14" customWidth="1"/>
    <col min="4" max="4" width="24" customWidth="1"/>
    <col min="5" max="5" width="38" customWidth="1"/>
    <col min="6" max="7" width="14" customWidth="1"/>
    <col min="8" max="10" width="16" customWidth="1"/>
    <col min="11" max="11" width="42" customWidth="1"/>
  </cols>
  <sheetData>
    <row r="1" spans="1:11" ht="30">
      <c r="A1" s="4" t="s">
        <v>122</v>
      </c>
      <c r="B1" s="4" t="s">
        <v>27</v>
      </c>
      <c r="C1" s="4" t="s">
        <v>123</v>
      </c>
      <c r="D1" s="4" t="s">
        <v>124</v>
      </c>
      <c r="E1" s="4" t="s">
        <v>125</v>
      </c>
      <c r="F1" s="4" t="s">
        <v>126</v>
      </c>
      <c r="G1" s="4" t="s">
        <v>127</v>
      </c>
      <c r="H1" s="4" t="s">
        <v>128</v>
      </c>
      <c r="I1" s="4" t="s">
        <v>129</v>
      </c>
      <c r="J1" s="4" t="s">
        <v>130</v>
      </c>
      <c r="K1" s="4" t="s">
        <v>39</v>
      </c>
    </row>
    <row r="2" spans="1:11">
      <c r="A2" t="s">
        <v>131</v>
      </c>
      <c r="B2" t="s">
        <v>40</v>
      </c>
      <c r="D2" t="s">
        <v>132</v>
      </c>
      <c r="E2" t="s">
        <v>133</v>
      </c>
      <c r="F2" s="6">
        <v>45697</v>
      </c>
      <c r="G2" s="6">
        <v>46062</v>
      </c>
      <c r="H2" t="s">
        <v>134</v>
      </c>
      <c r="I2" t="s">
        <v>46</v>
      </c>
      <c r="J2" t="s">
        <v>135</v>
      </c>
      <c r="K2" t="s">
        <v>136</v>
      </c>
    </row>
    <row r="3" spans="1:11">
      <c r="A3" t="s">
        <v>137</v>
      </c>
      <c r="B3" t="s">
        <v>48</v>
      </c>
      <c r="C3" t="s">
        <v>138</v>
      </c>
      <c r="D3" t="s">
        <v>139</v>
      </c>
      <c r="E3" t="s">
        <v>140</v>
      </c>
      <c r="F3" s="6">
        <v>45705</v>
      </c>
      <c r="G3" s="6">
        <v>46070</v>
      </c>
      <c r="H3" t="s">
        <v>134</v>
      </c>
      <c r="I3" t="s">
        <v>46</v>
      </c>
      <c r="J3" t="s">
        <v>141</v>
      </c>
      <c r="K3" t="s">
        <v>136</v>
      </c>
    </row>
    <row r="4" spans="1:11">
      <c r="A4" t="s">
        <v>142</v>
      </c>
      <c r="B4" t="s">
        <v>52</v>
      </c>
      <c r="D4" t="s">
        <v>143</v>
      </c>
      <c r="E4" t="s">
        <v>144</v>
      </c>
      <c r="F4" s="6">
        <v>45713</v>
      </c>
      <c r="G4" s="6">
        <v>46078</v>
      </c>
      <c r="H4" t="s">
        <v>134</v>
      </c>
      <c r="I4" t="s">
        <v>46</v>
      </c>
      <c r="J4" t="s">
        <v>145</v>
      </c>
      <c r="K4" t="s">
        <v>136</v>
      </c>
    </row>
    <row r="5" spans="1:11">
      <c r="A5" t="s">
        <v>146</v>
      </c>
      <c r="B5" t="s">
        <v>57</v>
      </c>
      <c r="C5" t="s">
        <v>147</v>
      </c>
      <c r="D5" t="s">
        <v>148</v>
      </c>
      <c r="E5" t="s">
        <v>149</v>
      </c>
      <c r="F5" s="6">
        <v>45721</v>
      </c>
      <c r="G5" s="6">
        <v>46086</v>
      </c>
      <c r="H5" t="s">
        <v>134</v>
      </c>
      <c r="I5" t="s">
        <v>46</v>
      </c>
      <c r="J5" t="s">
        <v>150</v>
      </c>
      <c r="K5" t="s">
        <v>136</v>
      </c>
    </row>
    <row r="6" spans="1:11">
      <c r="A6" t="s">
        <v>151</v>
      </c>
      <c r="B6" t="s">
        <v>62</v>
      </c>
      <c r="D6" t="s">
        <v>152</v>
      </c>
      <c r="E6" t="s">
        <v>153</v>
      </c>
      <c r="F6" s="6">
        <v>45729</v>
      </c>
      <c r="G6" s="6">
        <v>46094</v>
      </c>
      <c r="H6" t="s">
        <v>154</v>
      </c>
      <c r="I6" t="s">
        <v>56</v>
      </c>
      <c r="J6" t="s">
        <v>135</v>
      </c>
      <c r="K6" t="s">
        <v>136</v>
      </c>
    </row>
    <row r="7" spans="1:11">
      <c r="A7" t="s">
        <v>155</v>
      </c>
      <c r="B7" t="s">
        <v>66</v>
      </c>
      <c r="D7" t="s">
        <v>132</v>
      </c>
      <c r="E7" t="s">
        <v>156</v>
      </c>
      <c r="F7" s="6">
        <v>45737</v>
      </c>
      <c r="G7" s="6">
        <v>46102</v>
      </c>
      <c r="H7" t="s">
        <v>134</v>
      </c>
      <c r="I7" t="s">
        <v>157</v>
      </c>
      <c r="J7" t="s">
        <v>141</v>
      </c>
      <c r="K7" t="s">
        <v>136</v>
      </c>
    </row>
    <row r="8" spans="1:11">
      <c r="A8" t="s">
        <v>158</v>
      </c>
      <c r="B8" t="s">
        <v>70</v>
      </c>
      <c r="C8" t="s">
        <v>159</v>
      </c>
      <c r="D8" t="s">
        <v>139</v>
      </c>
      <c r="E8" t="s">
        <v>160</v>
      </c>
      <c r="F8" s="6">
        <v>45745</v>
      </c>
      <c r="G8" s="6">
        <v>46110</v>
      </c>
      <c r="H8" t="s">
        <v>134</v>
      </c>
      <c r="I8" t="s">
        <v>46</v>
      </c>
      <c r="J8" t="s">
        <v>145</v>
      </c>
      <c r="K8" t="s">
        <v>136</v>
      </c>
    </row>
    <row r="9" spans="1:11">
      <c r="A9" t="s">
        <v>161</v>
      </c>
      <c r="B9" t="s">
        <v>74</v>
      </c>
      <c r="D9" t="s">
        <v>143</v>
      </c>
      <c r="E9" t="s">
        <v>162</v>
      </c>
      <c r="F9" s="6">
        <v>45753</v>
      </c>
      <c r="G9" s="6">
        <v>46118</v>
      </c>
      <c r="H9" t="s">
        <v>134</v>
      </c>
      <c r="I9" t="s">
        <v>46</v>
      </c>
      <c r="J9" t="s">
        <v>150</v>
      </c>
      <c r="K9" t="s">
        <v>136</v>
      </c>
    </row>
    <row r="10" spans="1:11">
      <c r="A10" t="s">
        <v>163</v>
      </c>
      <c r="B10" t="s">
        <v>78</v>
      </c>
      <c r="C10" t="s">
        <v>164</v>
      </c>
      <c r="D10" t="s">
        <v>148</v>
      </c>
      <c r="E10" t="s">
        <v>165</v>
      </c>
      <c r="F10" s="6">
        <v>45761</v>
      </c>
      <c r="G10" s="6">
        <v>46126</v>
      </c>
      <c r="H10" t="s">
        <v>134</v>
      </c>
      <c r="I10" t="s">
        <v>46</v>
      </c>
      <c r="J10" t="s">
        <v>135</v>
      </c>
      <c r="K10" t="s">
        <v>136</v>
      </c>
    </row>
    <row r="11" spans="1:11">
      <c r="A11" t="s">
        <v>166</v>
      </c>
      <c r="B11" t="s">
        <v>82</v>
      </c>
      <c r="D11" t="s">
        <v>152</v>
      </c>
      <c r="E11" t="s">
        <v>167</v>
      </c>
      <c r="F11" s="6">
        <v>45769</v>
      </c>
      <c r="G11" s="6">
        <v>46134</v>
      </c>
      <c r="H11" t="s">
        <v>154</v>
      </c>
      <c r="I11" t="s">
        <v>46</v>
      </c>
      <c r="J11" t="s">
        <v>141</v>
      </c>
      <c r="K11" t="s">
        <v>136</v>
      </c>
    </row>
    <row r="12" spans="1:11">
      <c r="A12" t="s">
        <v>168</v>
      </c>
      <c r="B12" t="s">
        <v>86</v>
      </c>
      <c r="D12" t="s">
        <v>132</v>
      </c>
      <c r="E12" t="s">
        <v>169</v>
      </c>
      <c r="F12" s="6">
        <v>45777</v>
      </c>
      <c r="G12" s="6">
        <v>46142</v>
      </c>
      <c r="H12" t="s">
        <v>134</v>
      </c>
      <c r="I12" t="s">
        <v>56</v>
      </c>
      <c r="J12" t="s">
        <v>145</v>
      </c>
      <c r="K12" t="s">
        <v>136</v>
      </c>
    </row>
    <row r="13" spans="1:11">
      <c r="A13" t="s">
        <v>170</v>
      </c>
      <c r="B13" t="s">
        <v>88</v>
      </c>
      <c r="C13" t="s">
        <v>171</v>
      </c>
      <c r="D13" t="s">
        <v>139</v>
      </c>
      <c r="E13" t="s">
        <v>172</v>
      </c>
      <c r="F13" s="6">
        <v>45785</v>
      </c>
      <c r="G13" s="6">
        <v>46150</v>
      </c>
      <c r="H13" t="s">
        <v>134</v>
      </c>
      <c r="I13" t="s">
        <v>157</v>
      </c>
      <c r="J13" t="s">
        <v>150</v>
      </c>
      <c r="K13" t="s">
        <v>136</v>
      </c>
    </row>
    <row r="14" spans="1:11">
      <c r="A14" t="s">
        <v>173</v>
      </c>
      <c r="B14" t="s">
        <v>90</v>
      </c>
      <c r="D14" t="s">
        <v>143</v>
      </c>
      <c r="E14" t="s">
        <v>174</v>
      </c>
      <c r="F14" s="6">
        <v>45793</v>
      </c>
      <c r="G14" s="6">
        <v>46158</v>
      </c>
      <c r="H14" t="s">
        <v>134</v>
      </c>
      <c r="I14" t="s">
        <v>46</v>
      </c>
      <c r="J14" t="s">
        <v>135</v>
      </c>
      <c r="K14" t="s">
        <v>136</v>
      </c>
    </row>
    <row r="15" spans="1:11">
      <c r="A15" t="s">
        <v>175</v>
      </c>
      <c r="B15" t="s">
        <v>92</v>
      </c>
      <c r="C15" t="s">
        <v>176</v>
      </c>
      <c r="D15" t="s">
        <v>148</v>
      </c>
      <c r="E15" t="s">
        <v>177</v>
      </c>
      <c r="F15" s="6">
        <v>45801</v>
      </c>
      <c r="G15" s="6">
        <v>46166</v>
      </c>
      <c r="H15" t="s">
        <v>134</v>
      </c>
      <c r="I15" t="s">
        <v>46</v>
      </c>
      <c r="J15" t="s">
        <v>141</v>
      </c>
      <c r="K15" t="s">
        <v>136</v>
      </c>
    </row>
    <row r="16" spans="1:11">
      <c r="A16" t="s">
        <v>178</v>
      </c>
      <c r="B16" t="s">
        <v>94</v>
      </c>
      <c r="D16" t="s">
        <v>152</v>
      </c>
      <c r="E16" t="s">
        <v>179</v>
      </c>
      <c r="F16" s="6">
        <v>45809</v>
      </c>
      <c r="G16" s="6">
        <v>46174</v>
      </c>
      <c r="H16" t="s">
        <v>154</v>
      </c>
      <c r="I16" t="s">
        <v>46</v>
      </c>
      <c r="J16" t="s">
        <v>145</v>
      </c>
      <c r="K16" t="s">
        <v>136</v>
      </c>
    </row>
    <row r="17" spans="1:11">
      <c r="A17" t="s">
        <v>180</v>
      </c>
      <c r="B17" t="s">
        <v>96</v>
      </c>
      <c r="D17" t="s">
        <v>132</v>
      </c>
      <c r="E17" t="s">
        <v>181</v>
      </c>
      <c r="F17" s="6">
        <v>45817</v>
      </c>
      <c r="G17" s="6">
        <v>46182</v>
      </c>
      <c r="H17" t="s">
        <v>134</v>
      </c>
      <c r="I17" t="s">
        <v>46</v>
      </c>
      <c r="J17" t="s">
        <v>150</v>
      </c>
      <c r="K17" t="s">
        <v>136</v>
      </c>
    </row>
    <row r="18" spans="1:11">
      <c r="A18" t="s">
        <v>182</v>
      </c>
      <c r="B18" t="s">
        <v>99</v>
      </c>
      <c r="C18" t="s">
        <v>183</v>
      </c>
      <c r="D18" t="s">
        <v>139</v>
      </c>
      <c r="E18" t="s">
        <v>184</v>
      </c>
      <c r="F18" s="6">
        <v>45825</v>
      </c>
      <c r="G18" s="6">
        <v>46190</v>
      </c>
      <c r="H18" t="s">
        <v>134</v>
      </c>
      <c r="I18" t="s">
        <v>56</v>
      </c>
      <c r="J18" t="s">
        <v>135</v>
      </c>
      <c r="K18" t="s">
        <v>136</v>
      </c>
    </row>
    <row r="19" spans="1:11">
      <c r="A19" t="s">
        <v>185</v>
      </c>
      <c r="B19" t="s">
        <v>101</v>
      </c>
      <c r="D19" t="s">
        <v>143</v>
      </c>
      <c r="E19" t="s">
        <v>186</v>
      </c>
      <c r="F19" s="6">
        <v>45833</v>
      </c>
      <c r="G19" s="6">
        <v>46198</v>
      </c>
      <c r="H19" t="s">
        <v>134</v>
      </c>
      <c r="I19" t="s">
        <v>157</v>
      </c>
      <c r="J19" t="s">
        <v>141</v>
      </c>
      <c r="K19" t="s">
        <v>136</v>
      </c>
    </row>
    <row r="20" spans="1:11">
      <c r="A20" t="s">
        <v>187</v>
      </c>
      <c r="B20" t="s">
        <v>103</v>
      </c>
      <c r="C20" t="s">
        <v>188</v>
      </c>
      <c r="D20" t="s">
        <v>148</v>
      </c>
      <c r="E20" t="s">
        <v>189</v>
      </c>
      <c r="F20" s="6">
        <v>45841</v>
      </c>
      <c r="G20" s="6">
        <v>46206</v>
      </c>
      <c r="H20" t="s">
        <v>134</v>
      </c>
      <c r="I20" t="s">
        <v>46</v>
      </c>
      <c r="J20" t="s">
        <v>145</v>
      </c>
      <c r="K20" t="s">
        <v>136</v>
      </c>
    </row>
    <row r="21" spans="1:11">
      <c r="A21" t="s">
        <v>190</v>
      </c>
      <c r="B21" t="s">
        <v>105</v>
      </c>
      <c r="D21" t="s">
        <v>152</v>
      </c>
      <c r="E21" t="s">
        <v>191</v>
      </c>
      <c r="F21" s="6">
        <v>45849</v>
      </c>
      <c r="G21" s="6">
        <v>46214</v>
      </c>
      <c r="H21" t="s">
        <v>154</v>
      </c>
      <c r="I21" t="s">
        <v>46</v>
      </c>
      <c r="J21" t="s">
        <v>150</v>
      </c>
      <c r="K21" t="s">
        <v>136</v>
      </c>
    </row>
    <row r="22" spans="1:11">
      <c r="A22" t="s">
        <v>192</v>
      </c>
      <c r="B22" t="s">
        <v>40</v>
      </c>
      <c r="D22" t="s">
        <v>132</v>
      </c>
      <c r="E22" t="s">
        <v>193</v>
      </c>
      <c r="F22" s="6">
        <v>45857</v>
      </c>
      <c r="G22" s="6">
        <v>46222</v>
      </c>
      <c r="H22" t="s">
        <v>134</v>
      </c>
      <c r="I22" t="s">
        <v>46</v>
      </c>
      <c r="J22" t="s">
        <v>135</v>
      </c>
      <c r="K22" t="s">
        <v>136</v>
      </c>
    </row>
    <row r="23" spans="1:11">
      <c r="A23" t="s">
        <v>194</v>
      </c>
      <c r="B23" t="s">
        <v>48</v>
      </c>
      <c r="C23" t="s">
        <v>138</v>
      </c>
      <c r="D23" t="s">
        <v>139</v>
      </c>
      <c r="E23" t="s">
        <v>195</v>
      </c>
      <c r="F23" s="6">
        <v>45865</v>
      </c>
      <c r="G23" s="6">
        <v>46230</v>
      </c>
      <c r="H23" t="s">
        <v>134</v>
      </c>
      <c r="I23" t="s">
        <v>46</v>
      </c>
      <c r="J23" t="s">
        <v>141</v>
      </c>
      <c r="K23" t="s">
        <v>136</v>
      </c>
    </row>
    <row r="24" spans="1:11">
      <c r="A24" t="s">
        <v>196</v>
      </c>
      <c r="B24" t="s">
        <v>52</v>
      </c>
      <c r="D24" t="s">
        <v>143</v>
      </c>
      <c r="E24" t="s">
        <v>197</v>
      </c>
      <c r="F24" s="6">
        <v>45873</v>
      </c>
      <c r="G24" s="6">
        <v>46238</v>
      </c>
      <c r="H24" t="s">
        <v>134</v>
      </c>
      <c r="I24" t="s">
        <v>56</v>
      </c>
      <c r="J24" t="s">
        <v>145</v>
      </c>
      <c r="K24" t="s">
        <v>136</v>
      </c>
    </row>
    <row r="25" spans="1:11">
      <c r="A25" t="s">
        <v>198</v>
      </c>
      <c r="B25" t="s">
        <v>57</v>
      </c>
      <c r="C25" t="s">
        <v>147</v>
      </c>
      <c r="D25" t="s">
        <v>148</v>
      </c>
      <c r="E25" t="s">
        <v>199</v>
      </c>
      <c r="F25" s="6">
        <v>45881</v>
      </c>
      <c r="G25" s="6">
        <v>46246</v>
      </c>
      <c r="H25" t="s">
        <v>134</v>
      </c>
      <c r="I25" t="s">
        <v>157</v>
      </c>
      <c r="J25" t="s">
        <v>150</v>
      </c>
      <c r="K25" t="s">
        <v>136</v>
      </c>
    </row>
    <row r="26" spans="1:11">
      <c r="A26" t="s">
        <v>200</v>
      </c>
      <c r="B26" t="s">
        <v>62</v>
      </c>
      <c r="D26" t="s">
        <v>152</v>
      </c>
      <c r="E26" t="s">
        <v>201</v>
      </c>
      <c r="F26" s="6">
        <v>45889</v>
      </c>
      <c r="G26" s="6">
        <v>46254</v>
      </c>
      <c r="H26" t="s">
        <v>154</v>
      </c>
      <c r="I26" t="s">
        <v>46</v>
      </c>
      <c r="J26" t="s">
        <v>135</v>
      </c>
      <c r="K26" t="s">
        <v>136</v>
      </c>
    </row>
    <row r="27" spans="1:11">
      <c r="A27" t="s">
        <v>202</v>
      </c>
      <c r="B27" t="s">
        <v>66</v>
      </c>
      <c r="D27" t="s">
        <v>132</v>
      </c>
      <c r="E27" t="s">
        <v>203</v>
      </c>
      <c r="F27" s="6">
        <v>45897</v>
      </c>
      <c r="G27" s="6">
        <v>46262</v>
      </c>
      <c r="H27" t="s">
        <v>134</v>
      </c>
      <c r="I27" t="s">
        <v>46</v>
      </c>
      <c r="J27" t="s">
        <v>141</v>
      </c>
      <c r="K27" t="s">
        <v>136</v>
      </c>
    </row>
    <row r="28" spans="1:11">
      <c r="A28" t="s">
        <v>204</v>
      </c>
      <c r="B28" t="s">
        <v>70</v>
      </c>
      <c r="C28" t="s">
        <v>159</v>
      </c>
      <c r="D28" t="s">
        <v>139</v>
      </c>
      <c r="E28" t="s">
        <v>205</v>
      </c>
      <c r="F28" s="6">
        <v>45905</v>
      </c>
      <c r="G28" s="6">
        <v>46270</v>
      </c>
      <c r="H28" t="s">
        <v>134</v>
      </c>
      <c r="I28" t="s">
        <v>46</v>
      </c>
      <c r="J28" t="s">
        <v>145</v>
      </c>
      <c r="K28" t="s">
        <v>136</v>
      </c>
    </row>
    <row r="29" spans="1:11">
      <c r="A29" t="s">
        <v>206</v>
      </c>
      <c r="B29" t="s">
        <v>74</v>
      </c>
      <c r="D29" t="s">
        <v>143</v>
      </c>
      <c r="E29" t="s">
        <v>207</v>
      </c>
      <c r="F29" s="6">
        <v>45913</v>
      </c>
      <c r="G29" s="6">
        <v>46278</v>
      </c>
      <c r="H29" t="s">
        <v>134</v>
      </c>
      <c r="I29" t="s">
        <v>46</v>
      </c>
      <c r="J29" t="s">
        <v>150</v>
      </c>
      <c r="K29" t="s">
        <v>136</v>
      </c>
    </row>
    <row r="30" spans="1:11">
      <c r="A30" t="s">
        <v>208</v>
      </c>
      <c r="B30" t="s">
        <v>78</v>
      </c>
      <c r="C30" t="s">
        <v>164</v>
      </c>
      <c r="D30" t="s">
        <v>148</v>
      </c>
      <c r="E30" t="s">
        <v>209</v>
      </c>
      <c r="F30" s="6">
        <v>45921</v>
      </c>
      <c r="G30" s="6">
        <v>46286</v>
      </c>
      <c r="H30" t="s">
        <v>134</v>
      </c>
      <c r="I30" t="s">
        <v>56</v>
      </c>
      <c r="J30" t="s">
        <v>135</v>
      </c>
      <c r="K30" t="s">
        <v>136</v>
      </c>
    </row>
    <row r="31" spans="1:11">
      <c r="A31" t="s">
        <v>210</v>
      </c>
      <c r="B31" t="s">
        <v>82</v>
      </c>
      <c r="D31" t="s">
        <v>152</v>
      </c>
      <c r="E31" t="s">
        <v>211</v>
      </c>
      <c r="F31" s="6">
        <v>45929</v>
      </c>
      <c r="G31" s="6">
        <v>46294</v>
      </c>
      <c r="H31" t="s">
        <v>154</v>
      </c>
      <c r="I31" t="s">
        <v>157</v>
      </c>
      <c r="J31" t="s">
        <v>141</v>
      </c>
      <c r="K31" t="s">
        <v>136</v>
      </c>
    </row>
  </sheetData>
  <dataValidations count="2">
    <dataValidation type="list" sqref="H2:H31" xr:uid="{00000000-0002-0000-0300-000000000000}">
      <formula1>"Verified,Unverified"</formula1>
    </dataValidation>
    <dataValidation type="list" sqref="I2:I31" xr:uid="{00000000-0002-0000-0300-000001000000}">
      <formula1>"Approved,Pending,Rejected"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4.25"/>
  <cols>
    <col min="1" max="1" width="20" customWidth="1"/>
    <col min="2" max="2" width="42" customWidth="1"/>
    <col min="3" max="3" width="18" customWidth="1"/>
    <col min="4" max="4" width="16" customWidth="1"/>
    <col min="5" max="5" width="22" customWidth="1"/>
    <col min="6" max="6" width="14" customWidth="1"/>
    <col min="7" max="7" width="38" customWidth="1"/>
    <col min="8" max="8" width="14" customWidth="1"/>
    <col min="9" max="9" width="48" customWidth="1"/>
  </cols>
  <sheetData>
    <row r="1" spans="1:9" ht="15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217</v>
      </c>
      <c r="G1" s="4" t="s">
        <v>218</v>
      </c>
      <c r="H1" s="4" t="s">
        <v>219</v>
      </c>
      <c r="I1" s="4" t="s">
        <v>39</v>
      </c>
    </row>
    <row r="2" spans="1:9">
      <c r="A2" t="s">
        <v>220</v>
      </c>
      <c r="B2" t="s">
        <v>221</v>
      </c>
      <c r="G2" t="s">
        <v>222</v>
      </c>
      <c r="H2" t="s">
        <v>56</v>
      </c>
      <c r="I2" t="s">
        <v>223</v>
      </c>
    </row>
    <row r="3" spans="1:9">
      <c r="A3" t="s">
        <v>224</v>
      </c>
      <c r="B3" t="s">
        <v>225</v>
      </c>
      <c r="H3" t="s">
        <v>56</v>
      </c>
      <c r="I3" t="s">
        <v>226</v>
      </c>
    </row>
  </sheetData>
  <dataValidations count="1">
    <dataValidation type="list" sqref="H2:H100" xr:uid="{00000000-0002-0000-0400-000000000000}">
      <formula1>"Approved,Pending,Retired"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"/>
  <sheetViews>
    <sheetView workbookViewId="0">
      <selection activeCell="D9" sqref="D9"/>
    </sheetView>
  </sheetViews>
  <sheetFormatPr defaultRowHeight="14.25"/>
  <cols>
    <col min="1" max="1" width="16" customWidth="1"/>
    <col min="2" max="2" width="14" customWidth="1"/>
    <col min="3" max="3" width="16" customWidth="1"/>
    <col min="4" max="5" width="14" customWidth="1"/>
    <col min="6" max="6" width="10" customWidth="1"/>
    <col min="7" max="7" width="24" customWidth="1"/>
    <col min="8" max="8" width="18" customWidth="1"/>
    <col min="9" max="9" width="14" customWidth="1"/>
    <col min="10" max="12" width="12" customWidth="1"/>
    <col min="13" max="14" width="14" customWidth="1"/>
    <col min="15" max="16" width="10" customWidth="1"/>
    <col min="17" max="17" width="14" customWidth="1"/>
    <col min="18" max="18" width="18" customWidth="1"/>
    <col min="19" max="19" width="20" customWidth="1"/>
    <col min="20" max="22" width="18" customWidth="1"/>
    <col min="23" max="23" width="14" customWidth="1"/>
    <col min="24" max="25" width="18" customWidth="1"/>
    <col min="26" max="26" width="14" customWidth="1"/>
  </cols>
  <sheetData>
    <row r="1" spans="1:26" ht="30">
      <c r="A1" s="4" t="s">
        <v>227</v>
      </c>
      <c r="B1" s="4" t="s">
        <v>27</v>
      </c>
      <c r="C1" s="4" t="s">
        <v>107</v>
      </c>
      <c r="D1" s="4" t="s">
        <v>228</v>
      </c>
      <c r="E1" s="4" t="s">
        <v>229</v>
      </c>
      <c r="F1" s="4" t="s">
        <v>30</v>
      </c>
      <c r="G1" s="4" t="s">
        <v>31</v>
      </c>
      <c r="H1" s="4" t="s">
        <v>32</v>
      </c>
      <c r="I1" s="4" t="s">
        <v>123</v>
      </c>
      <c r="J1" s="4" t="s">
        <v>230</v>
      </c>
      <c r="K1" s="4" t="s">
        <v>231</v>
      </c>
      <c r="L1" s="4" t="s">
        <v>232</v>
      </c>
      <c r="M1" s="4" t="s">
        <v>233</v>
      </c>
      <c r="N1" s="4" t="s">
        <v>234</v>
      </c>
      <c r="O1" s="4" t="s">
        <v>235</v>
      </c>
      <c r="P1" s="4" t="s">
        <v>236</v>
      </c>
      <c r="Q1" s="4" t="s">
        <v>237</v>
      </c>
      <c r="R1" s="4" t="s">
        <v>238</v>
      </c>
      <c r="S1" s="4" t="s">
        <v>212</v>
      </c>
      <c r="T1" s="4" t="s">
        <v>239</v>
      </c>
      <c r="U1" s="4" t="s">
        <v>240</v>
      </c>
      <c r="V1" s="4" t="s">
        <v>241</v>
      </c>
      <c r="W1" s="4" t="s">
        <v>122</v>
      </c>
      <c r="X1" s="4" t="s">
        <v>242</v>
      </c>
      <c r="Y1" s="4" t="s">
        <v>243</v>
      </c>
      <c r="Z1" s="4" t="s">
        <v>244</v>
      </c>
    </row>
    <row r="2" spans="1:26">
      <c r="A2" t="s">
        <v>245</v>
      </c>
      <c r="B2" t="s">
        <v>40</v>
      </c>
      <c r="C2" t="s">
        <v>113</v>
      </c>
      <c r="D2" s="6">
        <v>45661</v>
      </c>
      <c r="E2">
        <v>2025</v>
      </c>
      <c r="F2" t="s">
        <v>43</v>
      </c>
      <c r="G2" t="s">
        <v>44</v>
      </c>
      <c r="H2" t="s">
        <v>45</v>
      </c>
      <c r="L2">
        <v>63.7</v>
      </c>
      <c r="M2" t="s">
        <v>246</v>
      </c>
      <c r="N2" s="7">
        <v>18927.5</v>
      </c>
      <c r="O2" t="s">
        <v>247</v>
      </c>
      <c r="P2" s="8">
        <v>0.19</v>
      </c>
      <c r="Q2" s="9">
        <f t="shared" ref="Q2:Q33" si="0">N2*P2</f>
        <v>3596.2249999999999</v>
      </c>
      <c r="R2" t="s">
        <v>248</v>
      </c>
      <c r="S2" t="s">
        <v>224</v>
      </c>
      <c r="U2" t="s">
        <v>249</v>
      </c>
      <c r="V2" t="s">
        <v>250</v>
      </c>
      <c r="W2" t="s">
        <v>131</v>
      </c>
      <c r="X2" s="5" t="b">
        <v>0</v>
      </c>
      <c r="Y2" t="s">
        <v>251</v>
      </c>
      <c r="Z2" t="s">
        <v>252</v>
      </c>
    </row>
    <row r="3" spans="1:26">
      <c r="A3" t="s">
        <v>253</v>
      </c>
      <c r="B3" t="s">
        <v>48</v>
      </c>
      <c r="C3" t="s">
        <v>113</v>
      </c>
      <c r="D3" s="6">
        <v>45664</v>
      </c>
      <c r="E3">
        <v>2025</v>
      </c>
      <c r="F3" t="s">
        <v>43</v>
      </c>
      <c r="G3" t="s">
        <v>50</v>
      </c>
      <c r="H3" t="s">
        <v>51</v>
      </c>
      <c r="I3" t="s">
        <v>138</v>
      </c>
      <c r="L3">
        <v>77.400000000000006</v>
      </c>
      <c r="M3" t="s">
        <v>246</v>
      </c>
      <c r="N3" s="7">
        <v>19855</v>
      </c>
      <c r="O3" t="s">
        <v>247</v>
      </c>
      <c r="P3" s="8">
        <v>0.19</v>
      </c>
      <c r="Q3" s="9">
        <f t="shared" si="0"/>
        <v>3772.45</v>
      </c>
      <c r="R3" t="s">
        <v>254</v>
      </c>
      <c r="U3" t="s">
        <v>255</v>
      </c>
      <c r="V3" t="s">
        <v>256</v>
      </c>
      <c r="W3" t="s">
        <v>137</v>
      </c>
      <c r="X3" s="5" t="b">
        <v>0</v>
      </c>
      <c r="Y3" t="s">
        <v>251</v>
      </c>
      <c r="Z3" t="s">
        <v>252</v>
      </c>
    </row>
    <row r="4" spans="1:26">
      <c r="A4" t="s">
        <v>257</v>
      </c>
      <c r="B4" t="s">
        <v>52</v>
      </c>
      <c r="C4" t="s">
        <v>119</v>
      </c>
      <c r="D4" s="6">
        <v>45667</v>
      </c>
      <c r="E4">
        <v>2025</v>
      </c>
      <c r="F4" t="s">
        <v>43</v>
      </c>
      <c r="G4" t="s">
        <v>54</v>
      </c>
      <c r="H4" t="s">
        <v>55</v>
      </c>
      <c r="L4">
        <v>91.1</v>
      </c>
      <c r="M4" t="s">
        <v>246</v>
      </c>
      <c r="N4" s="7">
        <v>20782.5</v>
      </c>
      <c r="O4" t="s">
        <v>247</v>
      </c>
      <c r="P4" s="8">
        <v>0.19</v>
      </c>
      <c r="Q4" s="9">
        <f t="shared" si="0"/>
        <v>3948.6750000000002</v>
      </c>
      <c r="R4" t="s">
        <v>258</v>
      </c>
      <c r="S4" t="s">
        <v>220</v>
      </c>
      <c r="U4" t="s">
        <v>259</v>
      </c>
      <c r="V4" t="s">
        <v>260</v>
      </c>
      <c r="W4" t="s">
        <v>142</v>
      </c>
      <c r="X4" s="5" t="b">
        <v>0</v>
      </c>
      <c r="Y4" t="s">
        <v>251</v>
      </c>
      <c r="Z4" t="s">
        <v>252</v>
      </c>
    </row>
    <row r="5" spans="1:26">
      <c r="A5" t="s">
        <v>261</v>
      </c>
      <c r="B5" t="s">
        <v>57</v>
      </c>
      <c r="C5" t="s">
        <v>113</v>
      </c>
      <c r="D5" s="6">
        <v>45670</v>
      </c>
      <c r="E5">
        <v>2025</v>
      </c>
      <c r="F5" t="s">
        <v>43</v>
      </c>
      <c r="G5" t="s">
        <v>59</v>
      </c>
      <c r="H5" t="s">
        <v>60</v>
      </c>
      <c r="I5" t="s">
        <v>147</v>
      </c>
      <c r="L5">
        <v>104.8</v>
      </c>
      <c r="M5" t="s">
        <v>246</v>
      </c>
      <c r="N5" s="7">
        <v>21710</v>
      </c>
      <c r="O5" t="s">
        <v>247</v>
      </c>
      <c r="P5" s="8">
        <v>0.19</v>
      </c>
      <c r="Q5" s="9">
        <f t="shared" si="0"/>
        <v>4124.8999999999996</v>
      </c>
      <c r="R5" t="s">
        <v>248</v>
      </c>
      <c r="S5" t="s">
        <v>224</v>
      </c>
      <c r="U5" t="s">
        <v>262</v>
      </c>
      <c r="V5" t="s">
        <v>250</v>
      </c>
      <c r="W5" t="s">
        <v>146</v>
      </c>
      <c r="X5" s="5" t="b">
        <v>0</v>
      </c>
      <c r="Y5" t="s">
        <v>251</v>
      </c>
      <c r="Z5" t="s">
        <v>252</v>
      </c>
    </row>
    <row r="6" spans="1:26">
      <c r="A6" t="s">
        <v>263</v>
      </c>
      <c r="B6" t="s">
        <v>62</v>
      </c>
      <c r="C6" t="s">
        <v>113</v>
      </c>
      <c r="D6" s="6">
        <v>45673</v>
      </c>
      <c r="E6">
        <v>2025</v>
      </c>
      <c r="F6" t="s">
        <v>43</v>
      </c>
      <c r="G6" t="s">
        <v>64</v>
      </c>
      <c r="H6" t="s">
        <v>65</v>
      </c>
      <c r="L6">
        <v>118.5</v>
      </c>
      <c r="M6" t="s">
        <v>246</v>
      </c>
      <c r="N6" s="7">
        <v>22637.5</v>
      </c>
      <c r="O6" t="s">
        <v>247</v>
      </c>
      <c r="P6" s="8">
        <v>0.19</v>
      </c>
      <c r="Q6" s="9">
        <f t="shared" si="0"/>
        <v>4301.125</v>
      </c>
      <c r="R6" t="s">
        <v>254</v>
      </c>
      <c r="U6" t="s">
        <v>249</v>
      </c>
      <c r="V6" t="s">
        <v>256</v>
      </c>
      <c r="W6" t="s">
        <v>151</v>
      </c>
      <c r="X6" s="5" t="b">
        <v>0</v>
      </c>
      <c r="Y6" t="s">
        <v>251</v>
      </c>
      <c r="Z6" t="s">
        <v>252</v>
      </c>
    </row>
    <row r="7" spans="1:26">
      <c r="A7" t="s">
        <v>264</v>
      </c>
      <c r="B7" t="s">
        <v>66</v>
      </c>
      <c r="C7" t="s">
        <v>119</v>
      </c>
      <c r="D7" s="6">
        <v>45676</v>
      </c>
      <c r="E7">
        <v>2025</v>
      </c>
      <c r="F7" t="s">
        <v>43</v>
      </c>
      <c r="G7" t="s">
        <v>68</v>
      </c>
      <c r="H7" t="s">
        <v>69</v>
      </c>
      <c r="I7" t="s">
        <v>265</v>
      </c>
      <c r="L7">
        <v>132.19999999999999</v>
      </c>
      <c r="M7" t="s">
        <v>246</v>
      </c>
      <c r="N7" s="7">
        <v>23565</v>
      </c>
      <c r="O7" t="s">
        <v>247</v>
      </c>
      <c r="P7" s="8">
        <v>0.19</v>
      </c>
      <c r="Q7" s="9">
        <f t="shared" si="0"/>
        <v>4477.3500000000004</v>
      </c>
      <c r="R7" t="s">
        <v>258</v>
      </c>
      <c r="S7" t="s">
        <v>220</v>
      </c>
      <c r="U7" t="s">
        <v>255</v>
      </c>
      <c r="V7" t="s">
        <v>260</v>
      </c>
      <c r="W7" t="s">
        <v>155</v>
      </c>
      <c r="X7" s="5" t="b">
        <v>0</v>
      </c>
      <c r="Y7" t="s">
        <v>251</v>
      </c>
      <c r="Z7" t="s">
        <v>252</v>
      </c>
    </row>
    <row r="8" spans="1:26">
      <c r="A8" t="s">
        <v>266</v>
      </c>
      <c r="B8" t="s">
        <v>70</v>
      </c>
      <c r="C8" t="s">
        <v>113</v>
      </c>
      <c r="D8" s="6">
        <v>45679</v>
      </c>
      <c r="E8">
        <v>2025</v>
      </c>
      <c r="F8" t="s">
        <v>43</v>
      </c>
      <c r="G8" t="s">
        <v>72</v>
      </c>
      <c r="H8" t="s">
        <v>73</v>
      </c>
      <c r="L8">
        <v>145.9</v>
      </c>
      <c r="M8" t="s">
        <v>246</v>
      </c>
      <c r="N8" s="7">
        <v>24492.5</v>
      </c>
      <c r="O8" t="s">
        <v>247</v>
      </c>
      <c r="P8" s="8">
        <v>0.19</v>
      </c>
      <c r="Q8" s="9">
        <f t="shared" si="0"/>
        <v>4653.5749999999998</v>
      </c>
      <c r="R8" t="s">
        <v>248</v>
      </c>
      <c r="S8" t="s">
        <v>224</v>
      </c>
      <c r="U8" t="s">
        <v>259</v>
      </c>
      <c r="V8" t="s">
        <v>250</v>
      </c>
      <c r="W8" t="s">
        <v>158</v>
      </c>
      <c r="X8" s="5" t="b">
        <v>0</v>
      </c>
      <c r="Y8" t="s">
        <v>251</v>
      </c>
      <c r="Z8" t="s">
        <v>252</v>
      </c>
    </row>
    <row r="9" spans="1:26">
      <c r="A9" t="s">
        <v>267</v>
      </c>
      <c r="B9" t="s">
        <v>74</v>
      </c>
      <c r="C9" t="s">
        <v>113</v>
      </c>
      <c r="D9" s="6">
        <v>45682</v>
      </c>
      <c r="E9">
        <v>2025</v>
      </c>
      <c r="F9" t="s">
        <v>43</v>
      </c>
      <c r="G9" t="s">
        <v>76</v>
      </c>
      <c r="H9" t="s">
        <v>77</v>
      </c>
      <c r="I9" t="s">
        <v>268</v>
      </c>
      <c r="L9">
        <v>159.6</v>
      </c>
      <c r="M9" t="s">
        <v>246</v>
      </c>
      <c r="N9" s="7">
        <v>25420</v>
      </c>
      <c r="O9" t="s">
        <v>247</v>
      </c>
      <c r="P9" s="8">
        <v>0.19</v>
      </c>
      <c r="Q9" s="9">
        <f t="shared" si="0"/>
        <v>4829.8</v>
      </c>
      <c r="R9" t="s">
        <v>254</v>
      </c>
      <c r="U9" t="s">
        <v>262</v>
      </c>
      <c r="V9" t="s">
        <v>256</v>
      </c>
      <c r="W9" t="s">
        <v>161</v>
      </c>
      <c r="X9" s="5" t="b">
        <v>0</v>
      </c>
      <c r="Y9" t="s">
        <v>251</v>
      </c>
      <c r="Z9" t="s">
        <v>252</v>
      </c>
    </row>
    <row r="10" spans="1:26">
      <c r="A10" t="s">
        <v>269</v>
      </c>
      <c r="B10" t="s">
        <v>78</v>
      </c>
      <c r="C10" t="s">
        <v>119</v>
      </c>
      <c r="D10" s="6">
        <v>45685</v>
      </c>
      <c r="E10">
        <v>2025</v>
      </c>
      <c r="F10" t="s">
        <v>43</v>
      </c>
      <c r="G10" t="s">
        <v>80</v>
      </c>
      <c r="H10" t="s">
        <v>81</v>
      </c>
      <c r="L10">
        <v>173.3</v>
      </c>
      <c r="M10" t="s">
        <v>246</v>
      </c>
      <c r="N10" s="7">
        <v>26347.5</v>
      </c>
      <c r="O10" t="s">
        <v>247</v>
      </c>
      <c r="P10" s="8">
        <v>0.19</v>
      </c>
      <c r="Q10" s="9">
        <f t="shared" si="0"/>
        <v>5006.0249999999996</v>
      </c>
      <c r="R10" t="s">
        <v>258</v>
      </c>
      <c r="S10" t="s">
        <v>220</v>
      </c>
      <c r="U10" t="s">
        <v>249</v>
      </c>
      <c r="V10" t="s">
        <v>260</v>
      </c>
      <c r="W10" t="s">
        <v>163</v>
      </c>
      <c r="X10" s="5" t="b">
        <v>0</v>
      </c>
      <c r="Y10" t="s">
        <v>251</v>
      </c>
      <c r="Z10" t="s">
        <v>252</v>
      </c>
    </row>
    <row r="11" spans="1:26">
      <c r="A11" t="s">
        <v>270</v>
      </c>
      <c r="B11" t="s">
        <v>82</v>
      </c>
      <c r="C11" t="s">
        <v>113</v>
      </c>
      <c r="D11" s="6">
        <v>45688</v>
      </c>
      <c r="E11">
        <v>2025</v>
      </c>
      <c r="F11" t="s">
        <v>43</v>
      </c>
      <c r="G11" t="s">
        <v>84</v>
      </c>
      <c r="H11" t="s">
        <v>85</v>
      </c>
      <c r="I11" t="s">
        <v>271</v>
      </c>
      <c r="L11">
        <v>187</v>
      </c>
      <c r="M11" t="s">
        <v>246</v>
      </c>
      <c r="N11" s="7">
        <v>27275</v>
      </c>
      <c r="O11" t="s">
        <v>247</v>
      </c>
      <c r="P11" s="8">
        <v>0.19</v>
      </c>
      <c r="Q11" s="9">
        <f t="shared" si="0"/>
        <v>5182.25</v>
      </c>
      <c r="R11" t="s">
        <v>248</v>
      </c>
      <c r="S11" t="s">
        <v>224</v>
      </c>
      <c r="U11" t="s">
        <v>255</v>
      </c>
      <c r="V11" t="s">
        <v>250</v>
      </c>
      <c r="W11" t="s">
        <v>166</v>
      </c>
      <c r="X11" s="5" t="b">
        <v>0</v>
      </c>
      <c r="Y11" t="s">
        <v>251</v>
      </c>
      <c r="Z11" t="s">
        <v>252</v>
      </c>
    </row>
    <row r="12" spans="1:26">
      <c r="A12" t="s">
        <v>272</v>
      </c>
      <c r="B12" t="s">
        <v>86</v>
      </c>
      <c r="C12" t="s">
        <v>113</v>
      </c>
      <c r="D12" s="6">
        <v>45691</v>
      </c>
      <c r="E12">
        <v>2025</v>
      </c>
      <c r="F12" t="s">
        <v>43</v>
      </c>
      <c r="G12" t="s">
        <v>44</v>
      </c>
      <c r="H12" t="s">
        <v>45</v>
      </c>
      <c r="L12">
        <v>200.7</v>
      </c>
      <c r="M12" t="s">
        <v>246</v>
      </c>
      <c r="N12" s="7">
        <v>28202.5</v>
      </c>
      <c r="O12" t="s">
        <v>247</v>
      </c>
      <c r="P12" s="8">
        <v>0.19</v>
      </c>
      <c r="Q12" s="9">
        <f t="shared" si="0"/>
        <v>5358.4750000000004</v>
      </c>
      <c r="R12" t="s">
        <v>254</v>
      </c>
      <c r="U12" t="s">
        <v>259</v>
      </c>
      <c r="V12" t="s">
        <v>256</v>
      </c>
      <c r="X12" s="5" t="b">
        <v>0</v>
      </c>
      <c r="Y12" t="s">
        <v>251</v>
      </c>
      <c r="Z12" t="s">
        <v>252</v>
      </c>
    </row>
    <row r="13" spans="1:26">
      <c r="A13" t="s">
        <v>273</v>
      </c>
      <c r="B13" t="s">
        <v>88</v>
      </c>
      <c r="C13" t="s">
        <v>119</v>
      </c>
      <c r="D13" s="6">
        <v>45694</v>
      </c>
      <c r="E13">
        <v>2025</v>
      </c>
      <c r="F13" t="s">
        <v>43</v>
      </c>
      <c r="G13" t="s">
        <v>50</v>
      </c>
      <c r="H13" t="s">
        <v>51</v>
      </c>
      <c r="I13" t="s">
        <v>171</v>
      </c>
      <c r="L13">
        <v>214.4</v>
      </c>
      <c r="M13" t="s">
        <v>246</v>
      </c>
      <c r="N13" s="7">
        <v>29130</v>
      </c>
      <c r="O13" t="s">
        <v>247</v>
      </c>
      <c r="P13" s="8">
        <v>0.19</v>
      </c>
      <c r="Q13" s="9">
        <f t="shared" si="0"/>
        <v>5534.7</v>
      </c>
      <c r="R13" t="s">
        <v>258</v>
      </c>
      <c r="S13" t="s">
        <v>220</v>
      </c>
      <c r="U13" t="s">
        <v>262</v>
      </c>
      <c r="V13" t="s">
        <v>260</v>
      </c>
      <c r="W13" t="s">
        <v>170</v>
      </c>
      <c r="X13" s="5" t="b">
        <v>0</v>
      </c>
      <c r="Y13" t="s">
        <v>251</v>
      </c>
      <c r="Z13" t="s">
        <v>252</v>
      </c>
    </row>
    <row r="14" spans="1:26">
      <c r="A14" t="s">
        <v>274</v>
      </c>
      <c r="B14" t="s">
        <v>90</v>
      </c>
      <c r="C14" t="s">
        <v>113</v>
      </c>
      <c r="D14" s="6">
        <v>45697</v>
      </c>
      <c r="E14">
        <v>2025</v>
      </c>
      <c r="F14" t="s">
        <v>43</v>
      </c>
      <c r="G14" t="s">
        <v>54</v>
      </c>
      <c r="H14" t="s">
        <v>55</v>
      </c>
      <c r="L14">
        <v>228.1</v>
      </c>
      <c r="M14" t="s">
        <v>246</v>
      </c>
      <c r="N14" s="7">
        <v>30057.5</v>
      </c>
      <c r="O14" t="s">
        <v>247</v>
      </c>
      <c r="P14" s="8">
        <v>0.19</v>
      </c>
      <c r="Q14" s="9">
        <f t="shared" si="0"/>
        <v>5710.9250000000002</v>
      </c>
      <c r="R14" t="s">
        <v>248</v>
      </c>
      <c r="S14" t="s">
        <v>224</v>
      </c>
      <c r="U14" t="s">
        <v>249</v>
      </c>
      <c r="V14" t="s">
        <v>250</v>
      </c>
      <c r="W14" t="s">
        <v>173</v>
      </c>
      <c r="X14" s="5" t="b">
        <v>0</v>
      </c>
      <c r="Y14" t="s">
        <v>251</v>
      </c>
      <c r="Z14" t="s">
        <v>252</v>
      </c>
    </row>
    <row r="15" spans="1:26">
      <c r="A15" t="s">
        <v>275</v>
      </c>
      <c r="B15" t="s">
        <v>92</v>
      </c>
      <c r="C15" t="s">
        <v>113</v>
      </c>
      <c r="D15" s="6">
        <v>45700</v>
      </c>
      <c r="E15">
        <v>2025</v>
      </c>
      <c r="F15" t="s">
        <v>43</v>
      </c>
      <c r="G15" t="s">
        <v>59</v>
      </c>
      <c r="H15" t="s">
        <v>60</v>
      </c>
      <c r="I15" t="s">
        <v>176</v>
      </c>
      <c r="L15">
        <v>241.8</v>
      </c>
      <c r="M15" t="s">
        <v>246</v>
      </c>
      <c r="N15" s="7">
        <v>30985</v>
      </c>
      <c r="O15" t="s">
        <v>247</v>
      </c>
      <c r="P15" s="8">
        <v>0.19</v>
      </c>
      <c r="Q15" s="9">
        <f t="shared" si="0"/>
        <v>5887.15</v>
      </c>
      <c r="R15" t="s">
        <v>254</v>
      </c>
      <c r="U15" t="s">
        <v>255</v>
      </c>
      <c r="V15" t="s">
        <v>256</v>
      </c>
      <c r="W15" t="s">
        <v>175</v>
      </c>
      <c r="X15" s="5" t="b">
        <v>0</v>
      </c>
      <c r="Y15" t="s">
        <v>251</v>
      </c>
      <c r="Z15" t="s">
        <v>252</v>
      </c>
    </row>
    <row r="16" spans="1:26">
      <c r="A16" t="s">
        <v>276</v>
      </c>
      <c r="B16" t="s">
        <v>94</v>
      </c>
      <c r="C16" t="s">
        <v>119</v>
      </c>
      <c r="D16" s="6">
        <v>45703</v>
      </c>
      <c r="E16">
        <v>2025</v>
      </c>
      <c r="F16" t="s">
        <v>43</v>
      </c>
      <c r="G16" t="s">
        <v>64</v>
      </c>
      <c r="H16" t="s">
        <v>65</v>
      </c>
      <c r="L16">
        <v>255.5</v>
      </c>
      <c r="M16" t="s">
        <v>246</v>
      </c>
      <c r="N16" s="7">
        <v>31912.5</v>
      </c>
      <c r="O16" t="s">
        <v>247</v>
      </c>
      <c r="P16" s="8">
        <v>0.19</v>
      </c>
      <c r="Q16" s="9">
        <f t="shared" si="0"/>
        <v>6063.375</v>
      </c>
      <c r="R16" t="s">
        <v>258</v>
      </c>
      <c r="S16" t="s">
        <v>220</v>
      </c>
      <c r="U16" t="s">
        <v>259</v>
      </c>
      <c r="V16" t="s">
        <v>260</v>
      </c>
      <c r="W16" t="s">
        <v>178</v>
      </c>
      <c r="X16" s="5" t="b">
        <v>0</v>
      </c>
      <c r="Y16" t="s">
        <v>251</v>
      </c>
      <c r="Z16" t="s">
        <v>252</v>
      </c>
    </row>
    <row r="17" spans="1:26">
      <c r="A17" t="s">
        <v>277</v>
      </c>
      <c r="B17" t="s">
        <v>96</v>
      </c>
      <c r="C17" t="s">
        <v>113</v>
      </c>
      <c r="D17" s="6">
        <v>45706</v>
      </c>
      <c r="E17">
        <v>2025</v>
      </c>
      <c r="F17" t="s">
        <v>43</v>
      </c>
      <c r="G17" t="s">
        <v>68</v>
      </c>
      <c r="H17" t="s">
        <v>69</v>
      </c>
      <c r="I17" t="s">
        <v>278</v>
      </c>
      <c r="L17">
        <v>269.2</v>
      </c>
      <c r="M17" t="s">
        <v>246</v>
      </c>
      <c r="N17" s="7">
        <v>32840</v>
      </c>
      <c r="O17" t="s">
        <v>247</v>
      </c>
      <c r="P17" s="8">
        <v>0.19</v>
      </c>
      <c r="Q17" s="9">
        <f t="shared" si="0"/>
        <v>6239.6</v>
      </c>
      <c r="R17" t="s">
        <v>248</v>
      </c>
      <c r="S17" t="s">
        <v>224</v>
      </c>
      <c r="U17" t="s">
        <v>262</v>
      </c>
      <c r="V17" t="s">
        <v>250</v>
      </c>
      <c r="W17" t="s">
        <v>180</v>
      </c>
      <c r="X17" s="5" t="b">
        <v>0</v>
      </c>
      <c r="Y17" t="s">
        <v>251</v>
      </c>
      <c r="Z17" t="s">
        <v>252</v>
      </c>
    </row>
    <row r="18" spans="1:26">
      <c r="A18" t="s">
        <v>279</v>
      </c>
      <c r="B18" t="s">
        <v>99</v>
      </c>
      <c r="C18" t="s">
        <v>113</v>
      </c>
      <c r="D18" s="6">
        <v>45709</v>
      </c>
      <c r="E18">
        <v>2025</v>
      </c>
      <c r="F18" t="s">
        <v>43</v>
      </c>
      <c r="G18" t="s">
        <v>72</v>
      </c>
      <c r="H18" t="s">
        <v>73</v>
      </c>
      <c r="L18">
        <v>282.89999999999998</v>
      </c>
      <c r="M18" t="s">
        <v>246</v>
      </c>
      <c r="N18" s="7">
        <v>33767.5</v>
      </c>
      <c r="O18" t="s">
        <v>247</v>
      </c>
      <c r="P18" s="8">
        <v>0.19</v>
      </c>
      <c r="Q18" s="9">
        <f t="shared" si="0"/>
        <v>6415.8249999999998</v>
      </c>
      <c r="R18" t="s">
        <v>254</v>
      </c>
      <c r="U18" t="s">
        <v>249</v>
      </c>
      <c r="V18" t="s">
        <v>256</v>
      </c>
      <c r="W18" t="s">
        <v>182</v>
      </c>
      <c r="X18" s="5" t="b">
        <v>0</v>
      </c>
      <c r="Y18" t="s">
        <v>251</v>
      </c>
      <c r="Z18" t="s">
        <v>252</v>
      </c>
    </row>
    <row r="19" spans="1:26">
      <c r="A19" t="s">
        <v>280</v>
      </c>
      <c r="B19" t="s">
        <v>101</v>
      </c>
      <c r="C19" t="s">
        <v>119</v>
      </c>
      <c r="D19" s="6">
        <v>45712</v>
      </c>
      <c r="E19">
        <v>2025</v>
      </c>
      <c r="F19" t="s">
        <v>43</v>
      </c>
      <c r="G19" t="s">
        <v>76</v>
      </c>
      <c r="H19" t="s">
        <v>77</v>
      </c>
      <c r="I19" t="s">
        <v>281</v>
      </c>
      <c r="L19">
        <v>296.60000000000002</v>
      </c>
      <c r="M19" t="s">
        <v>246</v>
      </c>
      <c r="N19" s="7">
        <v>34695</v>
      </c>
      <c r="O19" t="s">
        <v>247</v>
      </c>
      <c r="P19" s="8">
        <v>0.19</v>
      </c>
      <c r="Q19" s="9">
        <f t="shared" si="0"/>
        <v>6592.05</v>
      </c>
      <c r="R19" t="s">
        <v>258</v>
      </c>
      <c r="S19" t="s">
        <v>220</v>
      </c>
      <c r="U19" t="s">
        <v>255</v>
      </c>
      <c r="V19" t="s">
        <v>260</v>
      </c>
      <c r="W19" t="s">
        <v>185</v>
      </c>
      <c r="X19" s="5" t="b">
        <v>0</v>
      </c>
      <c r="Y19" t="s">
        <v>251</v>
      </c>
      <c r="Z19" t="s">
        <v>252</v>
      </c>
    </row>
    <row r="20" spans="1:26">
      <c r="A20" t="s">
        <v>282</v>
      </c>
      <c r="C20" t="s">
        <v>113</v>
      </c>
      <c r="D20" s="6">
        <v>45715</v>
      </c>
      <c r="E20">
        <v>2025</v>
      </c>
      <c r="F20" t="s">
        <v>43</v>
      </c>
      <c r="G20" t="s">
        <v>80</v>
      </c>
      <c r="H20" t="s">
        <v>81</v>
      </c>
      <c r="L20">
        <v>310.3</v>
      </c>
      <c r="M20" t="s">
        <v>246</v>
      </c>
      <c r="N20" s="7">
        <v>35622.5</v>
      </c>
      <c r="O20" t="s">
        <v>247</v>
      </c>
      <c r="P20" s="8">
        <v>0.19</v>
      </c>
      <c r="Q20" s="9">
        <f t="shared" si="0"/>
        <v>6768.2749999999996</v>
      </c>
      <c r="R20" t="s">
        <v>248</v>
      </c>
      <c r="S20" t="s">
        <v>224</v>
      </c>
      <c r="U20" t="s">
        <v>259</v>
      </c>
      <c r="V20" t="s">
        <v>250</v>
      </c>
      <c r="W20" t="s">
        <v>187</v>
      </c>
      <c r="X20" s="5" t="b">
        <v>0</v>
      </c>
      <c r="Y20" t="s">
        <v>251</v>
      </c>
      <c r="Z20" t="s">
        <v>252</v>
      </c>
    </row>
    <row r="21" spans="1:26">
      <c r="A21" t="s">
        <v>283</v>
      </c>
      <c r="B21" t="s">
        <v>105</v>
      </c>
      <c r="C21" t="s">
        <v>113</v>
      </c>
      <c r="D21" s="6">
        <v>45718</v>
      </c>
      <c r="E21">
        <v>2025</v>
      </c>
      <c r="F21" t="s">
        <v>43</v>
      </c>
      <c r="G21" t="s">
        <v>84</v>
      </c>
      <c r="H21" t="s">
        <v>85</v>
      </c>
      <c r="I21" t="s">
        <v>284</v>
      </c>
      <c r="L21">
        <v>324</v>
      </c>
      <c r="M21" t="s">
        <v>246</v>
      </c>
      <c r="N21" s="7">
        <v>36550</v>
      </c>
      <c r="O21" t="s">
        <v>247</v>
      </c>
      <c r="P21" s="8">
        <v>0.19</v>
      </c>
      <c r="Q21" s="9">
        <f t="shared" si="0"/>
        <v>6944.5</v>
      </c>
      <c r="R21" t="s">
        <v>254</v>
      </c>
      <c r="U21" t="s">
        <v>262</v>
      </c>
      <c r="V21" t="s">
        <v>256</v>
      </c>
      <c r="W21" t="s">
        <v>190</v>
      </c>
      <c r="X21" s="5" t="b">
        <v>0</v>
      </c>
      <c r="Y21" t="s">
        <v>251</v>
      </c>
      <c r="Z21" t="s">
        <v>252</v>
      </c>
    </row>
    <row r="22" spans="1:26">
      <c r="A22" t="s">
        <v>285</v>
      </c>
      <c r="B22" t="s">
        <v>40</v>
      </c>
      <c r="C22" t="s">
        <v>119</v>
      </c>
      <c r="D22" s="6">
        <v>45721</v>
      </c>
      <c r="E22">
        <v>2025</v>
      </c>
      <c r="F22" t="s">
        <v>43</v>
      </c>
      <c r="G22" t="s">
        <v>44</v>
      </c>
      <c r="H22" t="s">
        <v>45</v>
      </c>
      <c r="L22">
        <v>337.7</v>
      </c>
      <c r="M22" t="s">
        <v>246</v>
      </c>
      <c r="N22" s="7">
        <v>37477.5</v>
      </c>
      <c r="O22" t="s">
        <v>247</v>
      </c>
      <c r="P22" s="8">
        <v>0.19</v>
      </c>
      <c r="Q22" s="9">
        <f t="shared" si="0"/>
        <v>7120.7250000000004</v>
      </c>
      <c r="R22" t="s">
        <v>258</v>
      </c>
      <c r="S22" t="s">
        <v>220</v>
      </c>
      <c r="U22" t="s">
        <v>249</v>
      </c>
      <c r="V22" t="s">
        <v>260</v>
      </c>
      <c r="W22" t="s">
        <v>192</v>
      </c>
      <c r="X22" s="5" t="b">
        <v>0</v>
      </c>
      <c r="Y22" t="s">
        <v>251</v>
      </c>
      <c r="Z22" t="s">
        <v>252</v>
      </c>
    </row>
    <row r="23" spans="1:26">
      <c r="A23" t="s">
        <v>286</v>
      </c>
      <c r="B23" t="s">
        <v>48</v>
      </c>
      <c r="C23" t="s">
        <v>113</v>
      </c>
      <c r="D23" s="6">
        <v>45724</v>
      </c>
      <c r="E23">
        <v>2025</v>
      </c>
      <c r="F23" t="s">
        <v>43</v>
      </c>
      <c r="G23" t="s">
        <v>50</v>
      </c>
      <c r="H23" t="s">
        <v>51</v>
      </c>
      <c r="I23" t="s">
        <v>138</v>
      </c>
      <c r="L23">
        <v>351.4</v>
      </c>
      <c r="M23" t="s">
        <v>246</v>
      </c>
      <c r="N23" s="7">
        <v>38405</v>
      </c>
      <c r="O23" t="s">
        <v>247</v>
      </c>
      <c r="P23" s="8">
        <v>0.19</v>
      </c>
      <c r="Q23" s="9">
        <f t="shared" si="0"/>
        <v>7296.95</v>
      </c>
      <c r="R23" t="s">
        <v>248</v>
      </c>
      <c r="S23" t="s">
        <v>224</v>
      </c>
      <c r="U23" t="s">
        <v>255</v>
      </c>
      <c r="V23" t="s">
        <v>250</v>
      </c>
      <c r="W23" t="s">
        <v>194</v>
      </c>
      <c r="X23" s="5" t="b">
        <v>0</v>
      </c>
      <c r="Y23" t="s">
        <v>251</v>
      </c>
      <c r="Z23" t="s">
        <v>252</v>
      </c>
    </row>
    <row r="24" spans="1:26">
      <c r="A24" t="s">
        <v>287</v>
      </c>
      <c r="B24" t="s">
        <v>52</v>
      </c>
      <c r="C24" t="s">
        <v>113</v>
      </c>
      <c r="D24" s="6">
        <v>45727</v>
      </c>
      <c r="E24">
        <v>2025</v>
      </c>
      <c r="F24" t="s">
        <v>43</v>
      </c>
      <c r="G24" t="s">
        <v>54</v>
      </c>
      <c r="H24" t="s">
        <v>55</v>
      </c>
      <c r="L24">
        <v>365.1</v>
      </c>
      <c r="M24" t="s">
        <v>246</v>
      </c>
      <c r="N24" s="7">
        <v>39332.5</v>
      </c>
      <c r="O24" t="s">
        <v>247</v>
      </c>
      <c r="P24" s="8">
        <v>0.19</v>
      </c>
      <c r="Q24" s="9">
        <f t="shared" si="0"/>
        <v>7473.1750000000002</v>
      </c>
      <c r="R24" t="s">
        <v>254</v>
      </c>
      <c r="U24" t="s">
        <v>259</v>
      </c>
      <c r="V24" t="s">
        <v>256</v>
      </c>
      <c r="W24" t="s">
        <v>196</v>
      </c>
      <c r="X24" s="5" t="b">
        <v>0</v>
      </c>
      <c r="Y24" t="s">
        <v>251</v>
      </c>
      <c r="Z24" t="s">
        <v>252</v>
      </c>
    </row>
    <row r="25" spans="1:26">
      <c r="A25" t="s">
        <v>288</v>
      </c>
      <c r="B25" t="s">
        <v>57</v>
      </c>
      <c r="C25" t="s">
        <v>119</v>
      </c>
      <c r="D25" s="6">
        <v>46037</v>
      </c>
      <c r="E25">
        <v>2025</v>
      </c>
      <c r="F25" t="s">
        <v>43</v>
      </c>
      <c r="G25" t="s">
        <v>59</v>
      </c>
      <c r="H25" t="s">
        <v>60</v>
      </c>
      <c r="I25" t="s">
        <v>147</v>
      </c>
      <c r="L25">
        <v>378.8</v>
      </c>
      <c r="M25" t="s">
        <v>246</v>
      </c>
      <c r="N25" s="7">
        <v>40260</v>
      </c>
      <c r="O25" t="s">
        <v>247</v>
      </c>
      <c r="P25" s="8">
        <v>0.19</v>
      </c>
      <c r="Q25" s="9">
        <f t="shared" si="0"/>
        <v>7649.4</v>
      </c>
      <c r="R25" t="s">
        <v>258</v>
      </c>
      <c r="S25" t="s">
        <v>220</v>
      </c>
      <c r="U25" t="s">
        <v>262</v>
      </c>
      <c r="V25" t="s">
        <v>260</v>
      </c>
      <c r="W25" t="s">
        <v>198</v>
      </c>
      <c r="X25" s="5" t="b">
        <v>0</v>
      </c>
      <c r="Y25" t="s">
        <v>251</v>
      </c>
      <c r="Z25" t="s">
        <v>252</v>
      </c>
    </row>
    <row r="26" spans="1:26">
      <c r="A26" t="s">
        <v>289</v>
      </c>
      <c r="B26" t="s">
        <v>62</v>
      </c>
      <c r="C26" t="s">
        <v>113</v>
      </c>
      <c r="D26" s="6">
        <v>45733</v>
      </c>
      <c r="E26">
        <v>2025</v>
      </c>
      <c r="F26" t="s">
        <v>43</v>
      </c>
      <c r="G26" t="s">
        <v>64</v>
      </c>
      <c r="H26" t="s">
        <v>65</v>
      </c>
      <c r="L26">
        <v>392.5</v>
      </c>
      <c r="M26" t="s">
        <v>246</v>
      </c>
      <c r="N26" s="7">
        <v>41187.5</v>
      </c>
      <c r="O26" t="s">
        <v>247</v>
      </c>
      <c r="P26" s="8">
        <v>0.19</v>
      </c>
      <c r="Q26" s="9">
        <f t="shared" si="0"/>
        <v>7825.625</v>
      </c>
      <c r="R26" t="s">
        <v>248</v>
      </c>
      <c r="S26" t="s">
        <v>224</v>
      </c>
      <c r="U26" t="s">
        <v>249</v>
      </c>
      <c r="V26" t="s">
        <v>250</v>
      </c>
      <c r="W26" t="s">
        <v>200</v>
      </c>
      <c r="X26" s="5" t="b">
        <v>0</v>
      </c>
      <c r="Y26" t="s">
        <v>251</v>
      </c>
      <c r="Z26" t="s">
        <v>252</v>
      </c>
    </row>
    <row r="27" spans="1:26">
      <c r="A27" t="s">
        <v>290</v>
      </c>
      <c r="B27" t="s">
        <v>66</v>
      </c>
      <c r="C27" t="s">
        <v>113</v>
      </c>
      <c r="D27" s="6">
        <v>45736</v>
      </c>
      <c r="E27">
        <v>2025</v>
      </c>
      <c r="F27" t="s">
        <v>43</v>
      </c>
      <c r="G27" t="s">
        <v>68</v>
      </c>
      <c r="H27" t="s">
        <v>69</v>
      </c>
      <c r="I27" t="s">
        <v>265</v>
      </c>
      <c r="L27">
        <v>406.2</v>
      </c>
      <c r="M27" t="s">
        <v>246</v>
      </c>
      <c r="N27" s="7">
        <v>42115</v>
      </c>
      <c r="O27" t="s">
        <v>247</v>
      </c>
      <c r="P27" s="8">
        <v>0.19</v>
      </c>
      <c r="Q27" s="9">
        <f t="shared" si="0"/>
        <v>8001.85</v>
      </c>
      <c r="R27" t="s">
        <v>254</v>
      </c>
      <c r="U27" t="s">
        <v>255</v>
      </c>
      <c r="V27" t="s">
        <v>256</v>
      </c>
      <c r="W27" t="s">
        <v>202</v>
      </c>
      <c r="X27" s="5" t="b">
        <v>0</v>
      </c>
      <c r="Y27" t="s">
        <v>251</v>
      </c>
      <c r="Z27" t="s">
        <v>252</v>
      </c>
    </row>
    <row r="28" spans="1:26">
      <c r="A28" t="s">
        <v>291</v>
      </c>
      <c r="B28" t="s">
        <v>70</v>
      </c>
      <c r="C28" t="s">
        <v>119</v>
      </c>
      <c r="D28" s="6">
        <v>45739</v>
      </c>
      <c r="E28">
        <v>2025</v>
      </c>
      <c r="F28" t="s">
        <v>43</v>
      </c>
      <c r="G28" t="s">
        <v>72</v>
      </c>
      <c r="H28" t="s">
        <v>73</v>
      </c>
      <c r="L28">
        <v>419.9</v>
      </c>
      <c r="M28" t="s">
        <v>246</v>
      </c>
      <c r="N28" s="7">
        <v>43042.5</v>
      </c>
      <c r="O28" t="s">
        <v>247</v>
      </c>
      <c r="P28" s="8">
        <v>0.19</v>
      </c>
      <c r="Q28" s="9">
        <f t="shared" si="0"/>
        <v>8178.0749999999998</v>
      </c>
      <c r="R28" t="s">
        <v>258</v>
      </c>
      <c r="S28" t="s">
        <v>220</v>
      </c>
      <c r="U28" t="s">
        <v>259</v>
      </c>
      <c r="V28" t="s">
        <v>260</v>
      </c>
      <c r="W28" t="s">
        <v>204</v>
      </c>
      <c r="X28" s="5" t="b">
        <v>0</v>
      </c>
      <c r="Y28" t="s">
        <v>251</v>
      </c>
      <c r="Z28" t="s">
        <v>252</v>
      </c>
    </row>
    <row r="29" spans="1:26">
      <c r="A29" t="s">
        <v>292</v>
      </c>
      <c r="B29" t="s">
        <v>74</v>
      </c>
      <c r="C29" t="s">
        <v>113</v>
      </c>
      <c r="D29" s="6">
        <v>45742</v>
      </c>
      <c r="E29">
        <v>2025</v>
      </c>
      <c r="F29" t="s">
        <v>43</v>
      </c>
      <c r="G29" t="s">
        <v>76</v>
      </c>
      <c r="H29" t="s">
        <v>77</v>
      </c>
      <c r="I29" t="s">
        <v>268</v>
      </c>
      <c r="L29">
        <v>433.6</v>
      </c>
      <c r="M29" t="s">
        <v>246</v>
      </c>
      <c r="N29" s="7">
        <v>43970</v>
      </c>
      <c r="O29" t="s">
        <v>247</v>
      </c>
      <c r="P29" s="8">
        <v>0.19</v>
      </c>
      <c r="Q29" s="9">
        <f t="shared" si="0"/>
        <v>8354.2999999999993</v>
      </c>
      <c r="R29" t="s">
        <v>248</v>
      </c>
      <c r="S29" t="s">
        <v>224</v>
      </c>
      <c r="U29" t="s">
        <v>262</v>
      </c>
      <c r="V29" t="s">
        <v>250</v>
      </c>
      <c r="W29" t="s">
        <v>206</v>
      </c>
      <c r="X29" s="5" t="b">
        <v>0</v>
      </c>
      <c r="Y29" t="s">
        <v>251</v>
      </c>
      <c r="Z29" t="s">
        <v>252</v>
      </c>
    </row>
    <row r="30" spans="1:26">
      <c r="A30" t="s">
        <v>293</v>
      </c>
      <c r="B30" t="s">
        <v>78</v>
      </c>
      <c r="C30" t="s">
        <v>113</v>
      </c>
      <c r="D30" s="6">
        <v>45745</v>
      </c>
      <c r="E30">
        <v>2025</v>
      </c>
      <c r="F30" t="s">
        <v>43</v>
      </c>
      <c r="G30" t="s">
        <v>80</v>
      </c>
      <c r="H30" t="s">
        <v>81</v>
      </c>
      <c r="L30">
        <v>447.3</v>
      </c>
      <c r="M30" t="s">
        <v>246</v>
      </c>
      <c r="N30" s="7">
        <v>44897.5</v>
      </c>
      <c r="O30" t="s">
        <v>247</v>
      </c>
      <c r="P30" s="8">
        <v>0.19</v>
      </c>
      <c r="Q30" s="9">
        <f t="shared" si="0"/>
        <v>8530.5249999999996</v>
      </c>
      <c r="R30" t="s">
        <v>254</v>
      </c>
      <c r="U30" t="s">
        <v>249</v>
      </c>
      <c r="V30" t="s">
        <v>256</v>
      </c>
      <c r="W30" t="s">
        <v>208</v>
      </c>
      <c r="X30" s="5" t="b">
        <v>0</v>
      </c>
      <c r="Y30" t="s">
        <v>251</v>
      </c>
      <c r="Z30" t="s">
        <v>252</v>
      </c>
    </row>
    <row r="31" spans="1:26">
      <c r="A31" t="s">
        <v>294</v>
      </c>
      <c r="B31" t="s">
        <v>82</v>
      </c>
      <c r="C31" t="s">
        <v>119</v>
      </c>
      <c r="D31" s="6">
        <v>45748</v>
      </c>
      <c r="E31">
        <v>2025</v>
      </c>
      <c r="F31" t="s">
        <v>43</v>
      </c>
      <c r="G31" t="s">
        <v>84</v>
      </c>
      <c r="H31" t="s">
        <v>85</v>
      </c>
      <c r="I31" t="s">
        <v>271</v>
      </c>
      <c r="L31">
        <v>461</v>
      </c>
      <c r="M31" t="s">
        <v>246</v>
      </c>
      <c r="N31" s="7">
        <v>45825</v>
      </c>
      <c r="O31" t="s">
        <v>247</v>
      </c>
      <c r="P31" s="8">
        <v>0.19</v>
      </c>
      <c r="Q31" s="9">
        <f t="shared" si="0"/>
        <v>8706.75</v>
      </c>
      <c r="R31" t="s">
        <v>258</v>
      </c>
      <c r="S31" t="s">
        <v>220</v>
      </c>
      <c r="U31" t="s">
        <v>255</v>
      </c>
      <c r="V31" t="s">
        <v>260</v>
      </c>
      <c r="W31" t="s">
        <v>210</v>
      </c>
      <c r="X31" s="5" t="b">
        <v>0</v>
      </c>
      <c r="Y31" t="s">
        <v>251</v>
      </c>
      <c r="Z31" t="s">
        <v>252</v>
      </c>
    </row>
    <row r="32" spans="1:26">
      <c r="A32" t="s">
        <v>295</v>
      </c>
      <c r="B32" t="s">
        <v>86</v>
      </c>
      <c r="C32" t="s">
        <v>113</v>
      </c>
      <c r="D32" s="6">
        <v>45751</v>
      </c>
      <c r="E32">
        <v>2025</v>
      </c>
      <c r="F32" t="s">
        <v>43</v>
      </c>
      <c r="G32" t="s">
        <v>44</v>
      </c>
      <c r="H32" t="s">
        <v>45</v>
      </c>
      <c r="L32">
        <v>474.7</v>
      </c>
      <c r="M32" t="s">
        <v>246</v>
      </c>
      <c r="N32" s="7">
        <v>46752.5</v>
      </c>
      <c r="O32" t="s">
        <v>247</v>
      </c>
      <c r="P32" s="8">
        <v>0.19</v>
      </c>
      <c r="Q32" s="9">
        <f t="shared" si="0"/>
        <v>8882.9750000000004</v>
      </c>
      <c r="R32" t="s">
        <v>248</v>
      </c>
      <c r="S32" t="s">
        <v>224</v>
      </c>
      <c r="U32" t="s">
        <v>259</v>
      </c>
      <c r="V32" t="s">
        <v>250</v>
      </c>
      <c r="W32" t="s">
        <v>131</v>
      </c>
      <c r="X32" s="5" t="b">
        <v>0</v>
      </c>
      <c r="Y32" t="s">
        <v>251</v>
      </c>
      <c r="Z32" t="s">
        <v>252</v>
      </c>
    </row>
    <row r="33" spans="1:26">
      <c r="A33" t="s">
        <v>296</v>
      </c>
      <c r="B33" t="s">
        <v>88</v>
      </c>
      <c r="C33" t="s">
        <v>113</v>
      </c>
      <c r="D33" s="6">
        <v>45754</v>
      </c>
      <c r="E33">
        <v>2025</v>
      </c>
      <c r="F33" t="s">
        <v>43</v>
      </c>
      <c r="G33" t="s">
        <v>50</v>
      </c>
      <c r="H33" t="s">
        <v>51</v>
      </c>
      <c r="I33" t="s">
        <v>171</v>
      </c>
      <c r="L33">
        <v>488.4</v>
      </c>
      <c r="M33" t="s">
        <v>246</v>
      </c>
      <c r="N33" s="7">
        <v>47680</v>
      </c>
      <c r="O33" t="s">
        <v>247</v>
      </c>
      <c r="P33" s="8">
        <v>0.19</v>
      </c>
      <c r="Q33" s="9">
        <f t="shared" si="0"/>
        <v>9059.2000000000007</v>
      </c>
      <c r="R33" t="s">
        <v>254</v>
      </c>
      <c r="U33" t="s">
        <v>262</v>
      </c>
      <c r="V33" t="s">
        <v>256</v>
      </c>
      <c r="W33" t="s">
        <v>137</v>
      </c>
      <c r="X33" s="5" t="b">
        <v>0</v>
      </c>
      <c r="Y33" t="s">
        <v>251</v>
      </c>
      <c r="Z33" t="s">
        <v>252</v>
      </c>
    </row>
    <row r="34" spans="1:26">
      <c r="A34" t="s">
        <v>297</v>
      </c>
      <c r="B34" t="s">
        <v>90</v>
      </c>
      <c r="C34" t="s">
        <v>119</v>
      </c>
      <c r="D34" s="6">
        <v>45757</v>
      </c>
      <c r="E34">
        <v>2025</v>
      </c>
      <c r="F34" t="s">
        <v>43</v>
      </c>
      <c r="G34" t="s">
        <v>54</v>
      </c>
      <c r="H34" t="s">
        <v>55</v>
      </c>
      <c r="L34">
        <v>502.1</v>
      </c>
      <c r="M34" t="s">
        <v>246</v>
      </c>
      <c r="N34" s="7">
        <v>48607.5</v>
      </c>
      <c r="O34" t="s">
        <v>247</v>
      </c>
      <c r="P34" s="8">
        <v>0.19</v>
      </c>
      <c r="Q34" s="9">
        <f t="shared" ref="Q34:Q65" si="1">N34*P34</f>
        <v>9235.4249999999993</v>
      </c>
      <c r="R34" t="s">
        <v>258</v>
      </c>
      <c r="S34" t="s">
        <v>220</v>
      </c>
      <c r="U34" t="s">
        <v>249</v>
      </c>
      <c r="V34" t="s">
        <v>260</v>
      </c>
      <c r="W34" t="s">
        <v>142</v>
      </c>
      <c r="X34" s="5" t="b">
        <v>1</v>
      </c>
      <c r="Y34" t="s">
        <v>251</v>
      </c>
      <c r="Z34" t="s">
        <v>252</v>
      </c>
    </row>
    <row r="35" spans="1:26">
      <c r="A35" t="s">
        <v>298</v>
      </c>
      <c r="B35" t="s">
        <v>92</v>
      </c>
      <c r="C35" t="s">
        <v>113</v>
      </c>
      <c r="D35" s="6">
        <v>45760</v>
      </c>
      <c r="E35">
        <v>2025</v>
      </c>
      <c r="F35" t="s">
        <v>43</v>
      </c>
      <c r="G35" t="s">
        <v>59</v>
      </c>
      <c r="H35" t="s">
        <v>60</v>
      </c>
      <c r="I35" t="s">
        <v>176</v>
      </c>
      <c r="L35">
        <v>515.79999999999995</v>
      </c>
      <c r="M35" t="s">
        <v>246</v>
      </c>
      <c r="N35" s="7">
        <v>49535</v>
      </c>
      <c r="O35" t="s">
        <v>247</v>
      </c>
      <c r="P35" s="8">
        <v>0.19</v>
      </c>
      <c r="Q35" s="9">
        <f t="shared" si="1"/>
        <v>9411.65</v>
      </c>
      <c r="R35" t="s">
        <v>248</v>
      </c>
      <c r="S35" t="s">
        <v>224</v>
      </c>
      <c r="U35" t="s">
        <v>255</v>
      </c>
      <c r="V35" t="s">
        <v>250</v>
      </c>
      <c r="W35" t="s">
        <v>146</v>
      </c>
      <c r="X35" s="5" t="b">
        <v>0</v>
      </c>
      <c r="Y35" t="s">
        <v>251</v>
      </c>
      <c r="Z35" t="s">
        <v>252</v>
      </c>
    </row>
    <row r="36" spans="1:26">
      <c r="A36" t="s">
        <v>299</v>
      </c>
      <c r="B36" t="s">
        <v>94</v>
      </c>
      <c r="C36" t="s">
        <v>113</v>
      </c>
      <c r="D36" s="6">
        <v>45763</v>
      </c>
      <c r="E36">
        <v>2025</v>
      </c>
      <c r="F36" t="s">
        <v>43</v>
      </c>
      <c r="G36" t="s">
        <v>64</v>
      </c>
      <c r="H36" t="s">
        <v>65</v>
      </c>
      <c r="L36">
        <v>529.5</v>
      </c>
      <c r="M36" t="s">
        <v>246</v>
      </c>
      <c r="N36" s="7">
        <v>50462.5</v>
      </c>
      <c r="O36" t="s">
        <v>247</v>
      </c>
      <c r="P36" s="8">
        <v>0.19</v>
      </c>
      <c r="Q36" s="9">
        <f t="shared" si="1"/>
        <v>9587.875</v>
      </c>
      <c r="R36" t="s">
        <v>254</v>
      </c>
      <c r="U36" t="s">
        <v>259</v>
      </c>
      <c r="V36" t="s">
        <v>256</v>
      </c>
      <c r="W36" t="s">
        <v>151</v>
      </c>
      <c r="X36" s="5" t="b">
        <v>0</v>
      </c>
      <c r="Y36" t="s">
        <v>251</v>
      </c>
      <c r="Z36" t="s">
        <v>252</v>
      </c>
    </row>
    <row r="37" spans="1:26">
      <c r="A37" t="s">
        <v>300</v>
      </c>
      <c r="B37" t="s">
        <v>96</v>
      </c>
      <c r="C37" t="s">
        <v>119</v>
      </c>
      <c r="D37" s="6">
        <v>45766</v>
      </c>
      <c r="E37">
        <v>2025</v>
      </c>
      <c r="F37" t="s">
        <v>43</v>
      </c>
      <c r="G37" t="s">
        <v>68</v>
      </c>
      <c r="H37" t="s">
        <v>69</v>
      </c>
      <c r="I37" t="s">
        <v>278</v>
      </c>
      <c r="L37">
        <v>543.20000000000005</v>
      </c>
      <c r="M37" t="s">
        <v>246</v>
      </c>
      <c r="N37" s="7">
        <v>51390</v>
      </c>
      <c r="O37" t="s">
        <v>247</v>
      </c>
      <c r="P37" s="8">
        <v>0.19</v>
      </c>
      <c r="Q37" s="9">
        <f t="shared" si="1"/>
        <v>9764.1</v>
      </c>
      <c r="R37" t="s">
        <v>258</v>
      </c>
      <c r="S37" t="s">
        <v>220</v>
      </c>
      <c r="U37" t="s">
        <v>262</v>
      </c>
      <c r="V37" t="s">
        <v>260</v>
      </c>
      <c r="W37" t="s">
        <v>155</v>
      </c>
      <c r="X37" s="5" t="b">
        <v>0</v>
      </c>
      <c r="Y37" t="s">
        <v>251</v>
      </c>
      <c r="Z37" t="s">
        <v>252</v>
      </c>
    </row>
    <row r="38" spans="1:26">
      <c r="A38" t="s">
        <v>301</v>
      </c>
      <c r="B38" t="s">
        <v>99</v>
      </c>
      <c r="C38" t="s">
        <v>113</v>
      </c>
      <c r="D38" s="6">
        <v>45769</v>
      </c>
      <c r="E38">
        <v>2025</v>
      </c>
      <c r="F38" t="s">
        <v>43</v>
      </c>
      <c r="G38" t="s">
        <v>72</v>
      </c>
      <c r="H38" t="s">
        <v>73</v>
      </c>
      <c r="L38">
        <v>556.9</v>
      </c>
      <c r="M38" t="s">
        <v>246</v>
      </c>
      <c r="N38" s="7">
        <v>52317.5</v>
      </c>
      <c r="O38" t="s">
        <v>247</v>
      </c>
      <c r="P38" s="8">
        <v>0.19</v>
      </c>
      <c r="Q38" s="9">
        <f t="shared" si="1"/>
        <v>9940.3250000000007</v>
      </c>
      <c r="R38" t="s">
        <v>248</v>
      </c>
      <c r="S38" t="s">
        <v>224</v>
      </c>
      <c r="U38" t="s">
        <v>249</v>
      </c>
      <c r="V38" t="s">
        <v>250</v>
      </c>
      <c r="W38" t="s">
        <v>158</v>
      </c>
      <c r="X38" s="5" t="b">
        <v>0</v>
      </c>
      <c r="Y38" t="s">
        <v>251</v>
      </c>
      <c r="Z38" t="s">
        <v>252</v>
      </c>
    </row>
    <row r="39" spans="1:26">
      <c r="A39" t="s">
        <v>302</v>
      </c>
      <c r="B39" t="s">
        <v>101</v>
      </c>
      <c r="C39" t="s">
        <v>113</v>
      </c>
      <c r="D39" s="6">
        <v>45772</v>
      </c>
      <c r="E39">
        <v>2025</v>
      </c>
      <c r="F39" t="s">
        <v>43</v>
      </c>
      <c r="G39" t="s">
        <v>76</v>
      </c>
      <c r="H39" t="s">
        <v>77</v>
      </c>
      <c r="I39" t="s">
        <v>281</v>
      </c>
      <c r="L39">
        <v>570.6</v>
      </c>
      <c r="M39" t="s">
        <v>246</v>
      </c>
      <c r="N39" s="7">
        <v>53245</v>
      </c>
      <c r="O39" t="s">
        <v>247</v>
      </c>
      <c r="P39" s="8">
        <v>0.19</v>
      </c>
      <c r="Q39" s="9">
        <f t="shared" si="1"/>
        <v>10116.549999999999</v>
      </c>
      <c r="R39" t="s">
        <v>254</v>
      </c>
      <c r="U39" t="s">
        <v>255</v>
      </c>
      <c r="V39" t="s">
        <v>256</v>
      </c>
      <c r="W39" t="s">
        <v>161</v>
      </c>
      <c r="X39" s="5" t="b">
        <v>0</v>
      </c>
      <c r="Y39" t="s">
        <v>251</v>
      </c>
      <c r="Z39" t="s">
        <v>252</v>
      </c>
    </row>
    <row r="40" spans="1:26">
      <c r="A40" t="s">
        <v>303</v>
      </c>
      <c r="B40" t="s">
        <v>103</v>
      </c>
      <c r="C40" t="s">
        <v>119</v>
      </c>
      <c r="D40" s="6">
        <v>45775</v>
      </c>
      <c r="E40">
        <v>2025</v>
      </c>
      <c r="F40" t="s">
        <v>43</v>
      </c>
      <c r="G40" t="s">
        <v>80</v>
      </c>
      <c r="H40" t="s">
        <v>81</v>
      </c>
      <c r="L40">
        <v>584.29999999999995</v>
      </c>
      <c r="M40" t="s">
        <v>246</v>
      </c>
      <c r="N40" s="7">
        <v>54172.5</v>
      </c>
      <c r="O40" t="s">
        <v>247</v>
      </c>
      <c r="P40" s="8">
        <v>0.19</v>
      </c>
      <c r="Q40" s="9">
        <f t="shared" si="1"/>
        <v>10292.775</v>
      </c>
      <c r="R40" t="s">
        <v>258</v>
      </c>
      <c r="S40" t="s">
        <v>220</v>
      </c>
      <c r="U40" t="s">
        <v>259</v>
      </c>
      <c r="V40" t="s">
        <v>260</v>
      </c>
      <c r="W40" t="s">
        <v>163</v>
      </c>
      <c r="X40" s="5" t="b">
        <v>0</v>
      </c>
      <c r="Y40" t="s">
        <v>251</v>
      </c>
      <c r="Z40" t="s">
        <v>252</v>
      </c>
    </row>
    <row r="41" spans="1:26">
      <c r="A41" t="s">
        <v>303</v>
      </c>
      <c r="B41" t="s">
        <v>105</v>
      </c>
      <c r="C41" t="s">
        <v>113</v>
      </c>
      <c r="D41" s="6">
        <v>45778</v>
      </c>
      <c r="E41">
        <v>2025</v>
      </c>
      <c r="F41" t="s">
        <v>43</v>
      </c>
      <c r="G41" t="s">
        <v>84</v>
      </c>
      <c r="H41" t="s">
        <v>85</v>
      </c>
      <c r="I41" t="s">
        <v>284</v>
      </c>
      <c r="L41">
        <v>598</v>
      </c>
      <c r="M41" t="s">
        <v>246</v>
      </c>
      <c r="N41" s="7">
        <v>55100</v>
      </c>
      <c r="O41" t="s">
        <v>247</v>
      </c>
      <c r="P41" s="8">
        <v>0.19</v>
      </c>
      <c r="Q41" s="9">
        <f t="shared" si="1"/>
        <v>10469</v>
      </c>
      <c r="R41" t="s">
        <v>248</v>
      </c>
      <c r="S41" t="s">
        <v>224</v>
      </c>
      <c r="U41" t="s">
        <v>262</v>
      </c>
      <c r="V41" t="s">
        <v>250</v>
      </c>
      <c r="W41" t="s">
        <v>166</v>
      </c>
      <c r="X41" s="5" t="b">
        <v>0</v>
      </c>
      <c r="Y41" t="s">
        <v>251</v>
      </c>
      <c r="Z41" t="s">
        <v>252</v>
      </c>
    </row>
    <row r="42" spans="1:26">
      <c r="A42" t="s">
        <v>304</v>
      </c>
      <c r="B42" t="s">
        <v>40</v>
      </c>
      <c r="C42" t="s">
        <v>113</v>
      </c>
      <c r="D42" s="6">
        <v>45781</v>
      </c>
      <c r="E42">
        <v>2025</v>
      </c>
      <c r="F42" t="s">
        <v>43</v>
      </c>
      <c r="G42" t="s">
        <v>44</v>
      </c>
      <c r="H42" t="s">
        <v>45</v>
      </c>
      <c r="L42">
        <v>611.70000000000005</v>
      </c>
      <c r="M42" t="s">
        <v>246</v>
      </c>
      <c r="N42" s="7">
        <v>56027.5</v>
      </c>
      <c r="O42" t="s">
        <v>247</v>
      </c>
      <c r="P42" s="8">
        <v>0.19</v>
      </c>
      <c r="Q42" s="9">
        <f t="shared" si="1"/>
        <v>10645.225</v>
      </c>
      <c r="R42" t="s">
        <v>254</v>
      </c>
      <c r="U42" t="s">
        <v>249</v>
      </c>
      <c r="V42" t="s">
        <v>256</v>
      </c>
      <c r="W42" t="s">
        <v>168</v>
      </c>
      <c r="X42" s="5" t="b">
        <v>0</v>
      </c>
      <c r="Y42" t="s">
        <v>251</v>
      </c>
      <c r="Z42" t="s">
        <v>252</v>
      </c>
    </row>
    <row r="43" spans="1:26">
      <c r="A43" t="s">
        <v>305</v>
      </c>
      <c r="B43" t="s">
        <v>48</v>
      </c>
      <c r="C43" t="s">
        <v>119</v>
      </c>
      <c r="D43" s="6">
        <v>45784</v>
      </c>
      <c r="E43">
        <v>2025</v>
      </c>
      <c r="F43" t="s">
        <v>43</v>
      </c>
      <c r="G43" t="s">
        <v>50</v>
      </c>
      <c r="H43" t="s">
        <v>51</v>
      </c>
      <c r="I43" t="s">
        <v>138</v>
      </c>
      <c r="L43">
        <v>625.4</v>
      </c>
      <c r="M43" t="s">
        <v>246</v>
      </c>
      <c r="N43" s="7">
        <v>56955</v>
      </c>
      <c r="O43" t="s">
        <v>247</v>
      </c>
      <c r="P43" s="8">
        <v>0.19</v>
      </c>
      <c r="Q43" s="9">
        <f t="shared" si="1"/>
        <v>10821.45</v>
      </c>
      <c r="R43" t="s">
        <v>258</v>
      </c>
      <c r="S43" t="s">
        <v>220</v>
      </c>
      <c r="U43" t="s">
        <v>255</v>
      </c>
      <c r="V43" t="s">
        <v>260</v>
      </c>
      <c r="W43" t="s">
        <v>170</v>
      </c>
      <c r="X43" s="5" t="b">
        <v>0</v>
      </c>
      <c r="Y43" t="s">
        <v>251</v>
      </c>
      <c r="Z43" t="s">
        <v>252</v>
      </c>
    </row>
    <row r="44" spans="1:26">
      <c r="A44" t="s">
        <v>306</v>
      </c>
      <c r="B44" t="s">
        <v>52</v>
      </c>
      <c r="C44" t="s">
        <v>113</v>
      </c>
      <c r="D44" s="6">
        <v>45787</v>
      </c>
      <c r="E44">
        <v>2025</v>
      </c>
      <c r="F44" t="s">
        <v>43</v>
      </c>
      <c r="G44" t="s">
        <v>54</v>
      </c>
      <c r="H44" t="s">
        <v>55</v>
      </c>
      <c r="L44">
        <v>639.1</v>
      </c>
      <c r="M44" t="s">
        <v>246</v>
      </c>
      <c r="N44" s="7">
        <v>57882.5</v>
      </c>
      <c r="O44" t="s">
        <v>247</v>
      </c>
      <c r="P44" s="8">
        <v>0.19</v>
      </c>
      <c r="Q44" s="9">
        <f t="shared" si="1"/>
        <v>10997.674999999999</v>
      </c>
      <c r="R44" t="s">
        <v>248</v>
      </c>
      <c r="S44" t="s">
        <v>224</v>
      </c>
      <c r="U44" t="s">
        <v>259</v>
      </c>
      <c r="V44" t="s">
        <v>250</v>
      </c>
      <c r="W44" t="s">
        <v>173</v>
      </c>
      <c r="X44" s="5" t="b">
        <v>0</v>
      </c>
      <c r="Y44" t="s">
        <v>251</v>
      </c>
      <c r="Z44" t="s">
        <v>252</v>
      </c>
    </row>
    <row r="45" spans="1:26">
      <c r="A45" t="s">
        <v>307</v>
      </c>
      <c r="B45" t="s">
        <v>57</v>
      </c>
      <c r="C45" t="s">
        <v>113</v>
      </c>
      <c r="D45" s="6">
        <v>45790</v>
      </c>
      <c r="E45">
        <v>2025</v>
      </c>
      <c r="F45" t="s">
        <v>43</v>
      </c>
      <c r="G45" t="s">
        <v>59</v>
      </c>
      <c r="H45" t="s">
        <v>60</v>
      </c>
      <c r="I45" t="s">
        <v>147</v>
      </c>
      <c r="L45">
        <v>652.79999999999995</v>
      </c>
      <c r="M45" t="s">
        <v>246</v>
      </c>
      <c r="N45" s="7">
        <v>58810</v>
      </c>
      <c r="O45" t="s">
        <v>247</v>
      </c>
      <c r="P45" s="8">
        <v>0.19</v>
      </c>
      <c r="Q45" s="9">
        <f t="shared" si="1"/>
        <v>11173.9</v>
      </c>
      <c r="R45" t="s">
        <v>254</v>
      </c>
      <c r="U45" t="s">
        <v>262</v>
      </c>
      <c r="V45" t="s">
        <v>256</v>
      </c>
      <c r="W45" t="s">
        <v>175</v>
      </c>
      <c r="X45" s="5" t="b">
        <v>0</v>
      </c>
      <c r="Y45" t="s">
        <v>251</v>
      </c>
      <c r="Z45" t="s">
        <v>252</v>
      </c>
    </row>
    <row r="46" spans="1:26">
      <c r="A46" t="s">
        <v>308</v>
      </c>
      <c r="B46" t="s">
        <v>62</v>
      </c>
      <c r="C46" t="s">
        <v>119</v>
      </c>
      <c r="D46" s="6">
        <v>45793</v>
      </c>
      <c r="E46">
        <v>2025</v>
      </c>
      <c r="F46" t="s">
        <v>43</v>
      </c>
      <c r="G46" t="s">
        <v>64</v>
      </c>
      <c r="H46" t="s">
        <v>65</v>
      </c>
      <c r="L46">
        <v>666.5</v>
      </c>
      <c r="M46" t="s">
        <v>246</v>
      </c>
      <c r="N46" s="7">
        <v>59737.5</v>
      </c>
      <c r="O46" t="s">
        <v>247</v>
      </c>
      <c r="P46" s="8">
        <v>0.19</v>
      </c>
      <c r="Q46" s="9">
        <f t="shared" si="1"/>
        <v>11350.125</v>
      </c>
      <c r="R46" t="s">
        <v>258</v>
      </c>
      <c r="S46" t="s">
        <v>220</v>
      </c>
      <c r="U46" t="s">
        <v>249</v>
      </c>
      <c r="V46" t="s">
        <v>260</v>
      </c>
      <c r="X46" s="5" t="b">
        <v>0</v>
      </c>
      <c r="Y46" t="s">
        <v>251</v>
      </c>
      <c r="Z46" t="s">
        <v>252</v>
      </c>
    </row>
    <row r="47" spans="1:26">
      <c r="A47" t="s">
        <v>309</v>
      </c>
      <c r="B47" t="s">
        <v>66</v>
      </c>
      <c r="C47" t="s">
        <v>113</v>
      </c>
      <c r="D47" s="6">
        <v>45796</v>
      </c>
      <c r="E47">
        <v>2025</v>
      </c>
      <c r="F47" t="s">
        <v>43</v>
      </c>
      <c r="G47" t="s">
        <v>68</v>
      </c>
      <c r="H47" t="s">
        <v>69</v>
      </c>
      <c r="I47" t="s">
        <v>265</v>
      </c>
      <c r="L47">
        <v>680.2</v>
      </c>
      <c r="M47" t="s">
        <v>246</v>
      </c>
      <c r="N47" s="7">
        <v>60665</v>
      </c>
      <c r="O47" t="s">
        <v>247</v>
      </c>
      <c r="P47" s="8">
        <v>0.19</v>
      </c>
      <c r="Q47" s="9">
        <f t="shared" si="1"/>
        <v>11526.35</v>
      </c>
      <c r="R47" t="s">
        <v>248</v>
      </c>
      <c r="S47" t="s">
        <v>224</v>
      </c>
      <c r="U47" t="s">
        <v>255</v>
      </c>
      <c r="V47" t="s">
        <v>250</v>
      </c>
      <c r="W47" t="s">
        <v>180</v>
      </c>
      <c r="X47" s="5" t="b">
        <v>0</v>
      </c>
      <c r="Y47" t="s">
        <v>251</v>
      </c>
      <c r="Z47" t="s">
        <v>252</v>
      </c>
    </row>
    <row r="48" spans="1:26">
      <c r="A48" t="s">
        <v>310</v>
      </c>
      <c r="B48" t="s">
        <v>70</v>
      </c>
      <c r="C48" t="s">
        <v>113</v>
      </c>
      <c r="D48" s="6">
        <v>45799</v>
      </c>
      <c r="E48">
        <v>2025</v>
      </c>
      <c r="F48" t="s">
        <v>43</v>
      </c>
      <c r="G48" t="s">
        <v>72</v>
      </c>
      <c r="H48" t="s">
        <v>73</v>
      </c>
      <c r="L48">
        <v>693.9</v>
      </c>
      <c r="M48" t="s">
        <v>246</v>
      </c>
      <c r="N48" s="7">
        <v>61592.5</v>
      </c>
      <c r="O48" t="s">
        <v>247</v>
      </c>
      <c r="P48" s="8">
        <v>0.19</v>
      </c>
      <c r="Q48" s="9">
        <f t="shared" si="1"/>
        <v>11702.575000000001</v>
      </c>
      <c r="R48" t="s">
        <v>254</v>
      </c>
      <c r="U48" t="s">
        <v>259</v>
      </c>
      <c r="V48" t="s">
        <v>256</v>
      </c>
      <c r="W48" t="s">
        <v>182</v>
      </c>
      <c r="X48" s="5" t="b">
        <v>0</v>
      </c>
      <c r="Y48" t="s">
        <v>251</v>
      </c>
      <c r="Z48" t="s">
        <v>252</v>
      </c>
    </row>
    <row r="49" spans="1:26">
      <c r="A49" t="s">
        <v>311</v>
      </c>
      <c r="B49" t="s">
        <v>74</v>
      </c>
      <c r="C49" t="s">
        <v>119</v>
      </c>
      <c r="D49" s="6">
        <v>45802</v>
      </c>
      <c r="E49">
        <v>2025</v>
      </c>
      <c r="F49" t="s">
        <v>43</v>
      </c>
      <c r="G49" t="s">
        <v>76</v>
      </c>
      <c r="H49" t="s">
        <v>77</v>
      </c>
      <c r="I49" t="s">
        <v>268</v>
      </c>
      <c r="L49">
        <v>707.6</v>
      </c>
      <c r="M49" t="s">
        <v>246</v>
      </c>
      <c r="N49" s="7">
        <v>62520</v>
      </c>
      <c r="O49" t="s">
        <v>247</v>
      </c>
      <c r="P49" s="8">
        <v>0.19</v>
      </c>
      <c r="Q49" s="9">
        <f t="shared" si="1"/>
        <v>11878.8</v>
      </c>
      <c r="R49" t="s">
        <v>258</v>
      </c>
      <c r="S49" t="s">
        <v>220</v>
      </c>
      <c r="U49" t="s">
        <v>262</v>
      </c>
      <c r="V49" t="s">
        <v>260</v>
      </c>
      <c r="W49" t="s">
        <v>185</v>
      </c>
      <c r="X49" s="5" t="b">
        <v>0</v>
      </c>
      <c r="Y49" t="s">
        <v>251</v>
      </c>
      <c r="Z49" t="s">
        <v>252</v>
      </c>
    </row>
    <row r="50" spans="1:26">
      <c r="A50" t="s">
        <v>312</v>
      </c>
      <c r="B50" t="s">
        <v>78</v>
      </c>
      <c r="C50" t="s">
        <v>113</v>
      </c>
      <c r="D50" s="6">
        <v>45805</v>
      </c>
      <c r="E50">
        <v>2025</v>
      </c>
      <c r="F50" t="s">
        <v>43</v>
      </c>
      <c r="G50" t="s">
        <v>80</v>
      </c>
      <c r="H50" t="s">
        <v>81</v>
      </c>
      <c r="L50">
        <v>721.3</v>
      </c>
      <c r="M50" t="s">
        <v>246</v>
      </c>
      <c r="N50" s="7">
        <v>63447.5</v>
      </c>
      <c r="O50" t="s">
        <v>247</v>
      </c>
      <c r="P50" s="8">
        <v>0.19</v>
      </c>
      <c r="Q50" s="9">
        <f t="shared" si="1"/>
        <v>12055.025</v>
      </c>
      <c r="R50" t="s">
        <v>248</v>
      </c>
      <c r="S50" t="s">
        <v>224</v>
      </c>
      <c r="U50" t="s">
        <v>249</v>
      </c>
      <c r="V50" t="s">
        <v>250</v>
      </c>
      <c r="W50" t="s">
        <v>187</v>
      </c>
      <c r="X50" s="5" t="b">
        <v>0</v>
      </c>
      <c r="Y50" t="s">
        <v>251</v>
      </c>
      <c r="Z50" t="s">
        <v>252</v>
      </c>
    </row>
    <row r="51" spans="1:26">
      <c r="A51" t="s">
        <v>313</v>
      </c>
      <c r="B51" t="s">
        <v>82</v>
      </c>
      <c r="C51" t="s">
        <v>113</v>
      </c>
      <c r="D51" s="6">
        <v>45808</v>
      </c>
      <c r="E51">
        <v>2025</v>
      </c>
      <c r="F51" t="s">
        <v>43</v>
      </c>
      <c r="G51" t="s">
        <v>84</v>
      </c>
      <c r="H51" t="s">
        <v>85</v>
      </c>
      <c r="I51" t="s">
        <v>271</v>
      </c>
      <c r="L51">
        <v>735</v>
      </c>
      <c r="M51" t="s">
        <v>246</v>
      </c>
      <c r="N51" s="7">
        <v>64375</v>
      </c>
      <c r="O51" t="s">
        <v>247</v>
      </c>
      <c r="P51" s="8">
        <v>0.19</v>
      </c>
      <c r="Q51" s="9">
        <f t="shared" si="1"/>
        <v>12231.25</v>
      </c>
      <c r="R51" t="s">
        <v>254</v>
      </c>
      <c r="U51" t="s">
        <v>255</v>
      </c>
      <c r="V51" t="s">
        <v>256</v>
      </c>
      <c r="W51" t="s">
        <v>190</v>
      </c>
      <c r="X51" s="5" t="b">
        <v>0</v>
      </c>
      <c r="Y51" t="s">
        <v>251</v>
      </c>
      <c r="Z51" t="s">
        <v>252</v>
      </c>
    </row>
    <row r="52" spans="1:26">
      <c r="A52" t="s">
        <v>314</v>
      </c>
      <c r="B52" t="s">
        <v>86</v>
      </c>
      <c r="C52" t="s">
        <v>119</v>
      </c>
      <c r="D52" s="6">
        <v>45811</v>
      </c>
      <c r="E52">
        <v>2025</v>
      </c>
      <c r="F52" t="s">
        <v>43</v>
      </c>
      <c r="G52" t="s">
        <v>44</v>
      </c>
      <c r="H52" t="s">
        <v>45</v>
      </c>
      <c r="L52">
        <v>748.7</v>
      </c>
      <c r="M52" t="s">
        <v>246</v>
      </c>
      <c r="N52" s="7">
        <v>65302.5</v>
      </c>
      <c r="O52" t="s">
        <v>247</v>
      </c>
      <c r="P52" s="8">
        <v>0.19</v>
      </c>
      <c r="Q52" s="9">
        <f t="shared" si="1"/>
        <v>12407.475</v>
      </c>
      <c r="R52" t="s">
        <v>258</v>
      </c>
      <c r="S52" t="s">
        <v>220</v>
      </c>
      <c r="U52" t="s">
        <v>259</v>
      </c>
      <c r="V52" t="s">
        <v>260</v>
      </c>
      <c r="W52" t="s">
        <v>192</v>
      </c>
      <c r="X52" s="5" t="b">
        <v>0</v>
      </c>
      <c r="Y52" t="s">
        <v>251</v>
      </c>
      <c r="Z52" t="s">
        <v>252</v>
      </c>
    </row>
    <row r="53" spans="1:26">
      <c r="A53" t="s">
        <v>315</v>
      </c>
      <c r="B53" t="s">
        <v>88</v>
      </c>
      <c r="C53" t="s">
        <v>113</v>
      </c>
      <c r="D53" s="6">
        <v>45814</v>
      </c>
      <c r="E53">
        <v>2025</v>
      </c>
      <c r="F53" t="s">
        <v>43</v>
      </c>
      <c r="G53" t="s">
        <v>50</v>
      </c>
      <c r="H53" t="s">
        <v>51</v>
      </c>
      <c r="I53" t="s">
        <v>171</v>
      </c>
      <c r="L53">
        <v>762.4</v>
      </c>
      <c r="M53" t="s">
        <v>246</v>
      </c>
      <c r="N53" s="7">
        <v>66230</v>
      </c>
      <c r="O53" t="s">
        <v>247</v>
      </c>
      <c r="P53" s="8">
        <v>0.19</v>
      </c>
      <c r="Q53" s="9">
        <f t="shared" si="1"/>
        <v>12583.7</v>
      </c>
      <c r="R53" t="s">
        <v>248</v>
      </c>
      <c r="S53" t="s">
        <v>224</v>
      </c>
      <c r="U53" t="s">
        <v>262</v>
      </c>
      <c r="V53" t="s">
        <v>250</v>
      </c>
      <c r="W53" t="s">
        <v>194</v>
      </c>
      <c r="X53" s="5" t="b">
        <v>0</v>
      </c>
      <c r="Y53" t="s">
        <v>251</v>
      </c>
      <c r="Z53" t="s">
        <v>252</v>
      </c>
    </row>
    <row r="54" spans="1:26">
      <c r="A54" t="s">
        <v>316</v>
      </c>
      <c r="B54" t="s">
        <v>90</v>
      </c>
      <c r="C54" t="s">
        <v>113</v>
      </c>
      <c r="D54" s="6">
        <v>45817</v>
      </c>
      <c r="E54">
        <v>2025</v>
      </c>
      <c r="F54" t="s">
        <v>43</v>
      </c>
      <c r="G54" t="s">
        <v>54</v>
      </c>
      <c r="H54" t="s">
        <v>55</v>
      </c>
      <c r="L54">
        <v>776.1</v>
      </c>
      <c r="M54" t="s">
        <v>246</v>
      </c>
      <c r="N54" s="7">
        <v>67157.5</v>
      </c>
      <c r="O54" t="s">
        <v>247</v>
      </c>
      <c r="P54" s="8">
        <v>0.19</v>
      </c>
      <c r="Q54" s="9">
        <f t="shared" si="1"/>
        <v>12759.924999999999</v>
      </c>
      <c r="R54" t="s">
        <v>254</v>
      </c>
      <c r="U54" t="s">
        <v>249</v>
      </c>
      <c r="V54" t="s">
        <v>256</v>
      </c>
      <c r="W54" t="s">
        <v>196</v>
      </c>
      <c r="X54" s="5" t="b">
        <v>0</v>
      </c>
      <c r="Y54" t="s">
        <v>251</v>
      </c>
      <c r="Z54" t="s">
        <v>252</v>
      </c>
    </row>
    <row r="55" spans="1:26">
      <c r="A55" t="s">
        <v>317</v>
      </c>
      <c r="B55" t="s">
        <v>92</v>
      </c>
      <c r="C55" t="s">
        <v>119</v>
      </c>
      <c r="D55" s="6">
        <v>45820</v>
      </c>
      <c r="E55">
        <v>2025</v>
      </c>
      <c r="F55" t="s">
        <v>43</v>
      </c>
      <c r="G55" t="s">
        <v>59</v>
      </c>
      <c r="H55" t="s">
        <v>60</v>
      </c>
      <c r="I55" t="s">
        <v>176</v>
      </c>
      <c r="L55">
        <v>789.8</v>
      </c>
      <c r="M55" t="s">
        <v>246</v>
      </c>
      <c r="N55" s="7">
        <v>68085</v>
      </c>
      <c r="O55" t="s">
        <v>247</v>
      </c>
      <c r="P55" s="8">
        <v>0.19</v>
      </c>
      <c r="Q55" s="9">
        <f t="shared" si="1"/>
        <v>12936.15</v>
      </c>
      <c r="R55" t="s">
        <v>258</v>
      </c>
      <c r="S55" t="s">
        <v>220</v>
      </c>
      <c r="U55" t="s">
        <v>255</v>
      </c>
      <c r="V55" t="s">
        <v>260</v>
      </c>
      <c r="W55" t="s">
        <v>198</v>
      </c>
      <c r="X55" s="5" t="b">
        <v>0</v>
      </c>
      <c r="Y55" t="s">
        <v>251</v>
      </c>
      <c r="Z55" t="s">
        <v>252</v>
      </c>
    </row>
    <row r="56" spans="1:26">
      <c r="A56" t="s">
        <v>318</v>
      </c>
      <c r="B56" t="s">
        <v>94</v>
      </c>
      <c r="C56" t="s">
        <v>113</v>
      </c>
      <c r="D56" s="6">
        <v>45823</v>
      </c>
      <c r="E56">
        <v>2025</v>
      </c>
      <c r="F56" t="s">
        <v>43</v>
      </c>
      <c r="G56" t="s">
        <v>64</v>
      </c>
      <c r="H56" t="s">
        <v>65</v>
      </c>
      <c r="L56">
        <v>803.5</v>
      </c>
      <c r="M56" t="s">
        <v>246</v>
      </c>
      <c r="N56" s="7">
        <v>69012.5</v>
      </c>
      <c r="O56" t="s">
        <v>247</v>
      </c>
      <c r="P56" s="8">
        <v>0.19</v>
      </c>
      <c r="Q56" s="9">
        <f t="shared" si="1"/>
        <v>13112.375</v>
      </c>
      <c r="R56" t="s">
        <v>248</v>
      </c>
      <c r="S56" t="s">
        <v>224</v>
      </c>
      <c r="U56" t="s">
        <v>259</v>
      </c>
      <c r="V56" t="s">
        <v>250</v>
      </c>
      <c r="W56" t="s">
        <v>200</v>
      </c>
      <c r="X56" s="5" t="b">
        <v>0</v>
      </c>
      <c r="Y56" t="s">
        <v>251</v>
      </c>
      <c r="Z56" t="s">
        <v>252</v>
      </c>
    </row>
    <row r="57" spans="1:26">
      <c r="A57" t="s">
        <v>319</v>
      </c>
      <c r="B57" t="s">
        <v>96</v>
      </c>
      <c r="C57" t="s">
        <v>113</v>
      </c>
      <c r="D57" s="6">
        <v>45826</v>
      </c>
      <c r="E57">
        <v>2025</v>
      </c>
      <c r="F57" t="s">
        <v>43</v>
      </c>
      <c r="G57" t="s">
        <v>68</v>
      </c>
      <c r="H57" t="s">
        <v>69</v>
      </c>
      <c r="I57" t="s">
        <v>278</v>
      </c>
      <c r="L57">
        <v>817.2</v>
      </c>
      <c r="M57" t="s">
        <v>246</v>
      </c>
      <c r="N57" s="7">
        <v>69940</v>
      </c>
      <c r="O57" t="s">
        <v>247</v>
      </c>
      <c r="P57" s="8">
        <v>0.19</v>
      </c>
      <c r="Q57" s="9">
        <f t="shared" si="1"/>
        <v>13288.6</v>
      </c>
      <c r="R57" t="s">
        <v>254</v>
      </c>
      <c r="U57" t="s">
        <v>262</v>
      </c>
      <c r="V57" t="s">
        <v>256</v>
      </c>
      <c r="W57" t="s">
        <v>202</v>
      </c>
      <c r="X57" s="5" t="b">
        <v>0</v>
      </c>
      <c r="Y57" t="s">
        <v>251</v>
      </c>
      <c r="Z57" t="s">
        <v>252</v>
      </c>
    </row>
    <row r="58" spans="1:26">
      <c r="A58" t="s">
        <v>320</v>
      </c>
      <c r="B58" t="s">
        <v>99</v>
      </c>
      <c r="C58" t="s">
        <v>119</v>
      </c>
      <c r="D58" s="6">
        <v>45829</v>
      </c>
      <c r="E58">
        <v>2025</v>
      </c>
      <c r="F58" t="s">
        <v>43</v>
      </c>
      <c r="G58" t="s">
        <v>72</v>
      </c>
      <c r="H58" t="s">
        <v>73</v>
      </c>
      <c r="L58">
        <v>830.9</v>
      </c>
      <c r="M58" t="s">
        <v>246</v>
      </c>
      <c r="N58" s="7">
        <v>70867.5</v>
      </c>
      <c r="O58" t="s">
        <v>247</v>
      </c>
      <c r="P58" s="8">
        <v>0.19</v>
      </c>
      <c r="Q58" s="9">
        <f t="shared" si="1"/>
        <v>13464.825000000001</v>
      </c>
      <c r="R58" t="s">
        <v>258</v>
      </c>
      <c r="S58" t="s">
        <v>220</v>
      </c>
      <c r="U58" t="s">
        <v>249</v>
      </c>
      <c r="V58" t="s">
        <v>260</v>
      </c>
      <c r="W58" t="s">
        <v>204</v>
      </c>
      <c r="X58" s="5" t="b">
        <v>0</v>
      </c>
      <c r="Y58" t="s">
        <v>251</v>
      </c>
      <c r="Z58" t="s">
        <v>252</v>
      </c>
    </row>
    <row r="59" spans="1:26">
      <c r="A59" t="s">
        <v>321</v>
      </c>
      <c r="B59" t="s">
        <v>101</v>
      </c>
      <c r="C59" t="s">
        <v>113</v>
      </c>
      <c r="D59" s="6">
        <v>45832</v>
      </c>
      <c r="E59">
        <v>2025</v>
      </c>
      <c r="F59" t="s">
        <v>43</v>
      </c>
      <c r="G59" t="s">
        <v>76</v>
      </c>
      <c r="H59" t="s">
        <v>77</v>
      </c>
      <c r="I59" t="s">
        <v>281</v>
      </c>
      <c r="L59">
        <v>844.6</v>
      </c>
      <c r="M59" t="s">
        <v>246</v>
      </c>
      <c r="N59" s="7">
        <v>71795</v>
      </c>
      <c r="O59" t="s">
        <v>247</v>
      </c>
      <c r="P59" s="8">
        <v>0.19</v>
      </c>
      <c r="Q59" s="9">
        <f t="shared" si="1"/>
        <v>13641.05</v>
      </c>
      <c r="R59" t="s">
        <v>248</v>
      </c>
      <c r="S59" t="s">
        <v>224</v>
      </c>
      <c r="U59" t="s">
        <v>255</v>
      </c>
      <c r="V59" t="s">
        <v>250</v>
      </c>
      <c r="W59" t="s">
        <v>206</v>
      </c>
      <c r="X59" s="5" t="b">
        <v>0</v>
      </c>
      <c r="Y59" t="s">
        <v>251</v>
      </c>
      <c r="Z59" t="s">
        <v>252</v>
      </c>
    </row>
    <row r="60" spans="1:26">
      <c r="A60" t="s">
        <v>322</v>
      </c>
      <c r="B60" t="s">
        <v>103</v>
      </c>
      <c r="C60" t="s">
        <v>113</v>
      </c>
      <c r="D60" s="6">
        <v>45835</v>
      </c>
      <c r="E60">
        <v>2025</v>
      </c>
      <c r="F60" t="s">
        <v>43</v>
      </c>
      <c r="G60" t="s">
        <v>80</v>
      </c>
      <c r="H60" t="s">
        <v>81</v>
      </c>
      <c r="L60">
        <v>858.3</v>
      </c>
      <c r="M60" t="s">
        <v>246</v>
      </c>
      <c r="N60" s="7">
        <v>72722.5</v>
      </c>
      <c r="O60" t="s">
        <v>247</v>
      </c>
      <c r="P60" s="8">
        <v>0.19</v>
      </c>
      <c r="Q60" s="9">
        <f t="shared" si="1"/>
        <v>13817.275</v>
      </c>
      <c r="R60" t="s">
        <v>254</v>
      </c>
      <c r="U60" t="s">
        <v>259</v>
      </c>
      <c r="V60" t="s">
        <v>256</v>
      </c>
      <c r="W60" t="s">
        <v>208</v>
      </c>
      <c r="X60" s="5" t="b">
        <v>0</v>
      </c>
      <c r="Y60" t="s">
        <v>251</v>
      </c>
      <c r="Z60" t="s">
        <v>252</v>
      </c>
    </row>
    <row r="61" spans="1:26">
      <c r="A61" t="s">
        <v>323</v>
      </c>
      <c r="B61" t="s">
        <v>105</v>
      </c>
      <c r="C61" t="s">
        <v>119</v>
      </c>
      <c r="D61" s="6">
        <v>45838</v>
      </c>
      <c r="E61">
        <v>2025</v>
      </c>
      <c r="F61" t="s">
        <v>43</v>
      </c>
      <c r="G61" t="s">
        <v>84</v>
      </c>
      <c r="H61" t="s">
        <v>85</v>
      </c>
      <c r="I61" t="s">
        <v>284</v>
      </c>
      <c r="L61">
        <v>872</v>
      </c>
      <c r="M61" t="s">
        <v>246</v>
      </c>
      <c r="N61" s="7">
        <v>73650</v>
      </c>
      <c r="O61" t="s">
        <v>247</v>
      </c>
      <c r="P61" s="8">
        <v>0.19</v>
      </c>
      <c r="Q61" s="9">
        <f t="shared" si="1"/>
        <v>13993.5</v>
      </c>
      <c r="R61" t="s">
        <v>258</v>
      </c>
      <c r="S61" t="s">
        <v>220</v>
      </c>
      <c r="U61" t="s">
        <v>262</v>
      </c>
      <c r="V61" t="s">
        <v>260</v>
      </c>
      <c r="W61" t="s">
        <v>210</v>
      </c>
      <c r="X61" s="5" t="b">
        <v>0</v>
      </c>
      <c r="Y61" t="s">
        <v>251</v>
      </c>
      <c r="Z61" t="s">
        <v>252</v>
      </c>
    </row>
    <row r="62" spans="1:26">
      <c r="A62" t="s">
        <v>324</v>
      </c>
      <c r="B62" t="s">
        <v>40</v>
      </c>
      <c r="C62" t="s">
        <v>113</v>
      </c>
      <c r="D62" s="6">
        <v>45841</v>
      </c>
      <c r="E62">
        <v>2025</v>
      </c>
      <c r="F62" t="s">
        <v>43</v>
      </c>
      <c r="G62" t="s">
        <v>44</v>
      </c>
      <c r="H62" t="s">
        <v>45</v>
      </c>
      <c r="L62">
        <v>885.7</v>
      </c>
      <c r="M62" t="s">
        <v>246</v>
      </c>
      <c r="N62" s="7">
        <v>74577.5</v>
      </c>
      <c r="O62" t="s">
        <v>247</v>
      </c>
      <c r="P62" s="8">
        <v>0.19</v>
      </c>
      <c r="Q62" s="9">
        <f t="shared" si="1"/>
        <v>14169.725</v>
      </c>
      <c r="R62" t="s">
        <v>248</v>
      </c>
      <c r="S62" t="s">
        <v>224</v>
      </c>
      <c r="U62" t="s">
        <v>249</v>
      </c>
      <c r="V62" t="s">
        <v>250</v>
      </c>
      <c r="W62" t="s">
        <v>131</v>
      </c>
      <c r="X62" s="5" t="b">
        <v>0</v>
      </c>
      <c r="Y62" t="s">
        <v>251</v>
      </c>
      <c r="Z62" t="s">
        <v>252</v>
      </c>
    </row>
    <row r="63" spans="1:26">
      <c r="A63" t="s">
        <v>325</v>
      </c>
      <c r="B63" t="s">
        <v>48</v>
      </c>
      <c r="C63" t="s">
        <v>113</v>
      </c>
      <c r="D63" s="6">
        <v>45844</v>
      </c>
      <c r="E63">
        <v>2025</v>
      </c>
      <c r="F63" t="s">
        <v>43</v>
      </c>
      <c r="G63" t="s">
        <v>50</v>
      </c>
      <c r="H63" t="s">
        <v>51</v>
      </c>
      <c r="I63" t="s">
        <v>138</v>
      </c>
      <c r="L63">
        <v>899.4</v>
      </c>
      <c r="M63" t="s">
        <v>246</v>
      </c>
      <c r="N63" s="7">
        <v>75505</v>
      </c>
      <c r="O63" t="s">
        <v>247</v>
      </c>
      <c r="P63" s="8">
        <v>0.19</v>
      </c>
      <c r="Q63" s="9">
        <f t="shared" si="1"/>
        <v>14345.95</v>
      </c>
      <c r="R63" t="s">
        <v>254</v>
      </c>
      <c r="U63" t="s">
        <v>255</v>
      </c>
      <c r="V63" t="s">
        <v>256</v>
      </c>
      <c r="W63" t="s">
        <v>137</v>
      </c>
      <c r="X63" s="5" t="b">
        <v>0</v>
      </c>
      <c r="Y63" t="s">
        <v>251</v>
      </c>
      <c r="Z63" t="s">
        <v>252</v>
      </c>
    </row>
    <row r="64" spans="1:26">
      <c r="A64" t="s">
        <v>326</v>
      </c>
      <c r="B64" t="s">
        <v>52</v>
      </c>
      <c r="C64" t="s">
        <v>119</v>
      </c>
      <c r="D64" s="6">
        <v>45847</v>
      </c>
      <c r="E64">
        <v>2025</v>
      </c>
      <c r="F64" t="s">
        <v>43</v>
      </c>
      <c r="G64" t="s">
        <v>54</v>
      </c>
      <c r="H64" t="s">
        <v>55</v>
      </c>
      <c r="L64">
        <v>913.1</v>
      </c>
      <c r="M64" t="s">
        <v>246</v>
      </c>
      <c r="N64" s="7">
        <v>76432.5</v>
      </c>
      <c r="O64" t="s">
        <v>247</v>
      </c>
      <c r="P64" s="8">
        <v>0.19</v>
      </c>
      <c r="Q64" s="9">
        <f t="shared" si="1"/>
        <v>14522.174999999999</v>
      </c>
      <c r="R64" t="s">
        <v>258</v>
      </c>
      <c r="S64" t="s">
        <v>220</v>
      </c>
      <c r="U64" t="s">
        <v>259</v>
      </c>
      <c r="V64" t="s">
        <v>260</v>
      </c>
      <c r="W64" t="s">
        <v>142</v>
      </c>
      <c r="X64" s="5" t="b">
        <v>0</v>
      </c>
      <c r="Y64" t="s">
        <v>251</v>
      </c>
      <c r="Z64" t="s">
        <v>252</v>
      </c>
    </row>
    <row r="65" spans="1:26">
      <c r="A65" t="s">
        <v>327</v>
      </c>
      <c r="B65" t="s">
        <v>57</v>
      </c>
      <c r="C65" t="s">
        <v>113</v>
      </c>
      <c r="D65" s="6">
        <v>45850</v>
      </c>
      <c r="E65">
        <v>2025</v>
      </c>
      <c r="F65" t="s">
        <v>43</v>
      </c>
      <c r="G65" t="s">
        <v>59</v>
      </c>
      <c r="H65" t="s">
        <v>60</v>
      </c>
      <c r="I65" t="s">
        <v>147</v>
      </c>
      <c r="L65">
        <v>926.8</v>
      </c>
      <c r="M65" t="s">
        <v>246</v>
      </c>
      <c r="N65" s="7">
        <v>77360</v>
      </c>
      <c r="O65" t="s">
        <v>247</v>
      </c>
      <c r="P65" s="8">
        <v>0.19</v>
      </c>
      <c r="Q65" s="9">
        <f t="shared" si="1"/>
        <v>14698.4</v>
      </c>
      <c r="R65" t="s">
        <v>248</v>
      </c>
      <c r="S65" t="s">
        <v>224</v>
      </c>
      <c r="U65" t="s">
        <v>262</v>
      </c>
      <c r="V65" t="s">
        <v>250</v>
      </c>
      <c r="W65" t="s">
        <v>146</v>
      </c>
      <c r="X65" s="5" t="b">
        <v>0</v>
      </c>
      <c r="Y65" t="s">
        <v>251</v>
      </c>
      <c r="Z65" t="s">
        <v>252</v>
      </c>
    </row>
    <row r="66" spans="1:26">
      <c r="A66" t="s">
        <v>328</v>
      </c>
      <c r="B66" t="s">
        <v>62</v>
      </c>
      <c r="C66" t="s">
        <v>113</v>
      </c>
      <c r="D66" s="6">
        <v>45853</v>
      </c>
      <c r="E66">
        <v>2025</v>
      </c>
      <c r="F66" t="s">
        <v>43</v>
      </c>
      <c r="G66" t="s">
        <v>64</v>
      </c>
      <c r="H66" t="s">
        <v>65</v>
      </c>
      <c r="L66">
        <v>940.5</v>
      </c>
      <c r="M66" t="s">
        <v>246</v>
      </c>
      <c r="N66" s="7">
        <v>78287.5</v>
      </c>
      <c r="O66" t="s">
        <v>247</v>
      </c>
      <c r="P66" s="8">
        <v>0.19</v>
      </c>
      <c r="Q66" s="9">
        <f t="shared" ref="Q66:Q97" si="2">N66*P66</f>
        <v>14874.625</v>
      </c>
      <c r="R66" t="s">
        <v>254</v>
      </c>
      <c r="U66" t="s">
        <v>249</v>
      </c>
      <c r="V66" t="s">
        <v>256</v>
      </c>
      <c r="W66" t="s">
        <v>151</v>
      </c>
      <c r="X66" s="5" t="b">
        <v>0</v>
      </c>
      <c r="Y66" t="s">
        <v>251</v>
      </c>
      <c r="Z66" t="s">
        <v>252</v>
      </c>
    </row>
    <row r="67" spans="1:26">
      <c r="A67" t="s">
        <v>329</v>
      </c>
      <c r="B67" t="s">
        <v>66</v>
      </c>
      <c r="C67" t="s">
        <v>119</v>
      </c>
      <c r="D67" s="6">
        <v>45856</v>
      </c>
      <c r="E67">
        <v>2025</v>
      </c>
      <c r="F67" t="s">
        <v>43</v>
      </c>
      <c r="G67" t="s">
        <v>68</v>
      </c>
      <c r="H67" t="s">
        <v>69</v>
      </c>
      <c r="I67" t="s">
        <v>265</v>
      </c>
      <c r="L67">
        <v>54.2</v>
      </c>
      <c r="M67" t="s">
        <v>246</v>
      </c>
      <c r="N67" s="7">
        <v>79215</v>
      </c>
      <c r="O67" t="s">
        <v>247</v>
      </c>
      <c r="P67" s="8">
        <v>0.19</v>
      </c>
      <c r="Q67" s="9">
        <f t="shared" si="2"/>
        <v>15050.85</v>
      </c>
      <c r="R67" t="s">
        <v>258</v>
      </c>
      <c r="S67" t="s">
        <v>220</v>
      </c>
      <c r="U67" t="s">
        <v>255</v>
      </c>
      <c r="V67" t="s">
        <v>260</v>
      </c>
      <c r="W67" t="s">
        <v>155</v>
      </c>
      <c r="X67" s="5" t="b">
        <v>1</v>
      </c>
      <c r="Y67" t="s">
        <v>251</v>
      </c>
      <c r="Z67" t="s">
        <v>252</v>
      </c>
    </row>
    <row r="68" spans="1:26">
      <c r="A68" t="s">
        <v>330</v>
      </c>
      <c r="B68" t="s">
        <v>70</v>
      </c>
      <c r="C68" t="s">
        <v>113</v>
      </c>
      <c r="D68" s="6">
        <v>45859</v>
      </c>
      <c r="E68">
        <v>2025</v>
      </c>
      <c r="F68" t="s">
        <v>43</v>
      </c>
      <c r="G68" t="s">
        <v>72</v>
      </c>
      <c r="H68" t="s">
        <v>73</v>
      </c>
      <c r="L68">
        <v>67.900000000000006</v>
      </c>
      <c r="M68" t="s">
        <v>246</v>
      </c>
      <c r="N68" s="7">
        <v>80142.5</v>
      </c>
      <c r="O68" t="s">
        <v>247</v>
      </c>
      <c r="P68" s="8">
        <v>0.19</v>
      </c>
      <c r="Q68" s="9">
        <f t="shared" si="2"/>
        <v>15227.075000000001</v>
      </c>
      <c r="R68" t="s">
        <v>248</v>
      </c>
      <c r="S68" t="s">
        <v>224</v>
      </c>
      <c r="U68" t="s">
        <v>259</v>
      </c>
      <c r="V68" t="s">
        <v>250</v>
      </c>
      <c r="W68" t="s">
        <v>158</v>
      </c>
      <c r="X68" s="5" t="b">
        <v>0</v>
      </c>
      <c r="Y68" t="s">
        <v>251</v>
      </c>
      <c r="Z68" t="s">
        <v>252</v>
      </c>
    </row>
    <row r="69" spans="1:26">
      <c r="A69" t="s">
        <v>331</v>
      </c>
      <c r="B69" t="s">
        <v>74</v>
      </c>
      <c r="C69" t="s">
        <v>113</v>
      </c>
      <c r="D69" s="6">
        <v>45862</v>
      </c>
      <c r="E69">
        <v>2025</v>
      </c>
      <c r="F69" t="s">
        <v>43</v>
      </c>
      <c r="G69" t="s">
        <v>76</v>
      </c>
      <c r="H69" t="s">
        <v>77</v>
      </c>
      <c r="I69" t="s">
        <v>268</v>
      </c>
      <c r="L69">
        <v>81.599999999999994</v>
      </c>
      <c r="M69" t="s">
        <v>246</v>
      </c>
      <c r="N69" s="7">
        <v>81070</v>
      </c>
      <c r="O69" t="s">
        <v>247</v>
      </c>
      <c r="P69" s="8">
        <v>0.19</v>
      </c>
      <c r="Q69" s="9">
        <f t="shared" si="2"/>
        <v>15403.3</v>
      </c>
      <c r="R69" t="s">
        <v>254</v>
      </c>
      <c r="U69" t="s">
        <v>262</v>
      </c>
      <c r="V69" t="s">
        <v>256</v>
      </c>
      <c r="W69" t="s">
        <v>161</v>
      </c>
      <c r="X69" s="5" t="b">
        <v>0</v>
      </c>
      <c r="Y69" t="s">
        <v>251</v>
      </c>
      <c r="Z69" t="s">
        <v>252</v>
      </c>
    </row>
    <row r="70" spans="1:26">
      <c r="A70" t="s">
        <v>332</v>
      </c>
      <c r="B70" t="s">
        <v>78</v>
      </c>
      <c r="C70" t="s">
        <v>119</v>
      </c>
      <c r="D70" s="6">
        <v>45865</v>
      </c>
      <c r="E70">
        <v>2025</v>
      </c>
      <c r="F70" t="s">
        <v>43</v>
      </c>
      <c r="G70" t="s">
        <v>80</v>
      </c>
      <c r="H70" t="s">
        <v>81</v>
      </c>
      <c r="L70">
        <v>95.3</v>
      </c>
      <c r="M70" t="s">
        <v>246</v>
      </c>
      <c r="N70" s="7">
        <v>81997.5</v>
      </c>
      <c r="O70" t="s">
        <v>247</v>
      </c>
      <c r="P70" s="8">
        <v>0.19</v>
      </c>
      <c r="Q70" s="9">
        <f t="shared" si="2"/>
        <v>15579.525</v>
      </c>
      <c r="R70" t="s">
        <v>258</v>
      </c>
      <c r="S70" t="s">
        <v>220</v>
      </c>
      <c r="U70" t="s">
        <v>249</v>
      </c>
      <c r="V70" t="s">
        <v>260</v>
      </c>
      <c r="W70" t="s">
        <v>163</v>
      </c>
      <c r="X70" s="5" t="b">
        <v>0</v>
      </c>
      <c r="Y70" t="s">
        <v>251</v>
      </c>
      <c r="Z70" t="s">
        <v>252</v>
      </c>
    </row>
    <row r="71" spans="1:26">
      <c r="A71" t="s">
        <v>333</v>
      </c>
      <c r="B71" t="s">
        <v>82</v>
      </c>
      <c r="C71" t="s">
        <v>113</v>
      </c>
      <c r="D71" s="6">
        <v>45868</v>
      </c>
      <c r="E71">
        <v>2025</v>
      </c>
      <c r="F71" t="s">
        <v>43</v>
      </c>
      <c r="G71" t="s">
        <v>84</v>
      </c>
      <c r="H71" t="s">
        <v>85</v>
      </c>
      <c r="I71" t="s">
        <v>271</v>
      </c>
      <c r="L71">
        <v>109</v>
      </c>
      <c r="M71" t="s">
        <v>246</v>
      </c>
      <c r="N71" s="7">
        <v>82925</v>
      </c>
      <c r="O71" t="s">
        <v>247</v>
      </c>
      <c r="P71" s="8">
        <v>0.19</v>
      </c>
      <c r="Q71" s="9">
        <f t="shared" si="2"/>
        <v>15755.75</v>
      </c>
      <c r="R71" t="s">
        <v>248</v>
      </c>
      <c r="S71" t="s">
        <v>224</v>
      </c>
      <c r="U71" t="s">
        <v>255</v>
      </c>
      <c r="V71" t="s">
        <v>250</v>
      </c>
      <c r="W71" t="s">
        <v>166</v>
      </c>
      <c r="X71" s="5" t="b">
        <v>0</v>
      </c>
      <c r="Y71" t="s">
        <v>251</v>
      </c>
      <c r="Z71" t="s">
        <v>252</v>
      </c>
    </row>
    <row r="72" spans="1:26">
      <c r="A72" t="s">
        <v>334</v>
      </c>
      <c r="B72" t="s">
        <v>86</v>
      </c>
      <c r="C72" t="s">
        <v>113</v>
      </c>
      <c r="D72" s="6">
        <v>45871</v>
      </c>
      <c r="E72">
        <v>2025</v>
      </c>
      <c r="F72" t="s">
        <v>43</v>
      </c>
      <c r="G72" t="s">
        <v>44</v>
      </c>
      <c r="H72" t="s">
        <v>45</v>
      </c>
      <c r="L72">
        <v>122.7</v>
      </c>
      <c r="M72" t="s">
        <v>246</v>
      </c>
      <c r="N72" s="7">
        <v>83852.5</v>
      </c>
      <c r="O72" t="s">
        <v>247</v>
      </c>
      <c r="P72" s="8">
        <v>0.19</v>
      </c>
      <c r="Q72" s="9">
        <f t="shared" si="2"/>
        <v>15931.975</v>
      </c>
      <c r="R72" t="s">
        <v>254</v>
      </c>
      <c r="U72" t="s">
        <v>259</v>
      </c>
      <c r="V72" t="s">
        <v>256</v>
      </c>
      <c r="W72" t="s">
        <v>168</v>
      </c>
      <c r="X72" s="5" t="b">
        <v>0</v>
      </c>
      <c r="Y72" t="s">
        <v>251</v>
      </c>
      <c r="Z72" t="s">
        <v>252</v>
      </c>
    </row>
    <row r="73" spans="1:26">
      <c r="A73" t="s">
        <v>335</v>
      </c>
      <c r="B73" t="s">
        <v>88</v>
      </c>
      <c r="C73" t="s">
        <v>119</v>
      </c>
      <c r="D73" s="6">
        <v>45874</v>
      </c>
      <c r="E73">
        <v>2025</v>
      </c>
      <c r="F73" t="s">
        <v>43</v>
      </c>
      <c r="G73" t="s">
        <v>50</v>
      </c>
      <c r="H73" t="s">
        <v>51</v>
      </c>
      <c r="I73" t="s">
        <v>171</v>
      </c>
      <c r="L73">
        <v>136.4</v>
      </c>
      <c r="M73" t="s">
        <v>246</v>
      </c>
      <c r="N73" s="7">
        <v>84780</v>
      </c>
      <c r="O73" t="s">
        <v>247</v>
      </c>
      <c r="P73" s="8">
        <v>0.19</v>
      </c>
      <c r="Q73" s="9">
        <f t="shared" si="2"/>
        <v>16108.2</v>
      </c>
      <c r="R73" t="s">
        <v>258</v>
      </c>
      <c r="S73" t="s">
        <v>220</v>
      </c>
      <c r="U73" t="s">
        <v>262</v>
      </c>
      <c r="V73" t="s">
        <v>260</v>
      </c>
      <c r="W73" t="s">
        <v>170</v>
      </c>
      <c r="X73" s="5" t="b">
        <v>0</v>
      </c>
      <c r="Y73" t="s">
        <v>251</v>
      </c>
      <c r="Z73" t="s">
        <v>252</v>
      </c>
    </row>
    <row r="74" spans="1:26">
      <c r="A74" t="s">
        <v>336</v>
      </c>
      <c r="B74" t="s">
        <v>90</v>
      </c>
      <c r="C74" t="s">
        <v>113</v>
      </c>
      <c r="D74" s="6">
        <v>45877</v>
      </c>
      <c r="E74">
        <v>2025</v>
      </c>
      <c r="F74" t="s">
        <v>43</v>
      </c>
      <c r="G74" t="s">
        <v>54</v>
      </c>
      <c r="H74" t="s">
        <v>55</v>
      </c>
      <c r="L74">
        <v>150.1</v>
      </c>
      <c r="M74" t="s">
        <v>246</v>
      </c>
      <c r="N74" s="7">
        <v>85707.5</v>
      </c>
      <c r="O74" t="s">
        <v>247</v>
      </c>
      <c r="P74" s="8">
        <v>0.19</v>
      </c>
      <c r="Q74" s="9">
        <f t="shared" si="2"/>
        <v>16284.425000000001</v>
      </c>
      <c r="R74" t="s">
        <v>248</v>
      </c>
      <c r="S74" t="s">
        <v>224</v>
      </c>
      <c r="U74" t="s">
        <v>249</v>
      </c>
      <c r="V74" t="s">
        <v>250</v>
      </c>
      <c r="W74" t="s">
        <v>173</v>
      </c>
      <c r="X74" s="5" t="b">
        <v>0</v>
      </c>
      <c r="Y74" t="s">
        <v>251</v>
      </c>
      <c r="Z74" t="s">
        <v>252</v>
      </c>
    </row>
    <row r="75" spans="1:26">
      <c r="A75" t="s">
        <v>337</v>
      </c>
      <c r="B75" t="s">
        <v>92</v>
      </c>
      <c r="C75" t="s">
        <v>113</v>
      </c>
      <c r="D75" s="6">
        <v>45880</v>
      </c>
      <c r="E75">
        <v>2025</v>
      </c>
      <c r="F75" t="s">
        <v>43</v>
      </c>
      <c r="G75" t="s">
        <v>59</v>
      </c>
      <c r="H75" t="s">
        <v>60</v>
      </c>
      <c r="I75" t="s">
        <v>176</v>
      </c>
      <c r="L75">
        <v>163.80000000000001</v>
      </c>
      <c r="M75" t="s">
        <v>246</v>
      </c>
      <c r="N75" s="7">
        <v>86635</v>
      </c>
      <c r="O75" t="s">
        <v>247</v>
      </c>
      <c r="P75" s="8">
        <v>0.19</v>
      </c>
      <c r="Q75" s="9">
        <f t="shared" si="2"/>
        <v>16460.650000000001</v>
      </c>
      <c r="R75" t="s">
        <v>254</v>
      </c>
      <c r="U75" t="s">
        <v>255</v>
      </c>
      <c r="V75" t="s">
        <v>256</v>
      </c>
      <c r="W75" t="s">
        <v>175</v>
      </c>
      <c r="X75" s="5" t="b">
        <v>0</v>
      </c>
      <c r="Y75" t="s">
        <v>251</v>
      </c>
      <c r="Z75" t="s">
        <v>252</v>
      </c>
    </row>
    <row r="76" spans="1:26">
      <c r="A76" t="s">
        <v>337</v>
      </c>
      <c r="B76" t="s">
        <v>94</v>
      </c>
      <c r="C76" t="s">
        <v>119</v>
      </c>
      <c r="D76" s="6">
        <v>45883</v>
      </c>
      <c r="E76">
        <v>2025</v>
      </c>
      <c r="F76" t="s">
        <v>43</v>
      </c>
      <c r="G76" t="s">
        <v>64</v>
      </c>
      <c r="H76" t="s">
        <v>65</v>
      </c>
      <c r="L76">
        <v>177.5</v>
      </c>
      <c r="M76" t="s">
        <v>246</v>
      </c>
      <c r="N76" s="7">
        <v>87562.5</v>
      </c>
      <c r="O76" t="s">
        <v>247</v>
      </c>
      <c r="P76" s="8">
        <v>0.19</v>
      </c>
      <c r="Q76" s="9">
        <f t="shared" si="2"/>
        <v>16636.875</v>
      </c>
      <c r="R76" t="s">
        <v>258</v>
      </c>
      <c r="S76" t="s">
        <v>220</v>
      </c>
      <c r="U76" t="s">
        <v>259</v>
      </c>
      <c r="V76" t="s">
        <v>260</v>
      </c>
      <c r="W76" t="s">
        <v>178</v>
      </c>
      <c r="X76" s="5" t="b">
        <v>0</v>
      </c>
      <c r="Y76" t="s">
        <v>251</v>
      </c>
      <c r="Z76" t="s">
        <v>252</v>
      </c>
    </row>
    <row r="77" spans="1:26">
      <c r="A77" t="s">
        <v>338</v>
      </c>
      <c r="B77" t="s">
        <v>96</v>
      </c>
      <c r="C77" t="s">
        <v>113</v>
      </c>
      <c r="D77" s="6">
        <v>45886</v>
      </c>
      <c r="E77">
        <v>2025</v>
      </c>
      <c r="F77" t="s">
        <v>43</v>
      </c>
      <c r="G77" t="s">
        <v>68</v>
      </c>
      <c r="H77" t="s">
        <v>69</v>
      </c>
      <c r="I77" t="s">
        <v>278</v>
      </c>
      <c r="L77">
        <v>191.2</v>
      </c>
      <c r="M77" t="s">
        <v>246</v>
      </c>
      <c r="N77" s="7">
        <v>88490</v>
      </c>
      <c r="O77" t="s">
        <v>247</v>
      </c>
      <c r="P77" s="8">
        <v>0.19</v>
      </c>
      <c r="Q77" s="9">
        <f t="shared" si="2"/>
        <v>16813.099999999999</v>
      </c>
      <c r="R77" t="s">
        <v>248</v>
      </c>
      <c r="S77" t="s">
        <v>224</v>
      </c>
      <c r="U77" t="s">
        <v>262</v>
      </c>
      <c r="V77" t="s">
        <v>250</v>
      </c>
      <c r="W77" t="s">
        <v>180</v>
      </c>
      <c r="X77" s="5" t="b">
        <v>0</v>
      </c>
      <c r="Y77" t="s">
        <v>251</v>
      </c>
      <c r="Z77" t="s">
        <v>252</v>
      </c>
    </row>
    <row r="78" spans="1:26">
      <c r="A78" t="s">
        <v>339</v>
      </c>
      <c r="C78" t="s">
        <v>113</v>
      </c>
      <c r="D78" s="6">
        <v>45889</v>
      </c>
      <c r="E78">
        <v>2025</v>
      </c>
      <c r="F78" t="s">
        <v>43</v>
      </c>
      <c r="G78" t="s">
        <v>72</v>
      </c>
      <c r="H78" t="s">
        <v>73</v>
      </c>
      <c r="L78">
        <v>204.9</v>
      </c>
      <c r="M78" t="s">
        <v>246</v>
      </c>
      <c r="N78" s="7">
        <v>89417.5</v>
      </c>
      <c r="O78" t="s">
        <v>247</v>
      </c>
      <c r="P78" s="8">
        <v>0.19</v>
      </c>
      <c r="Q78" s="9">
        <f t="shared" si="2"/>
        <v>16989.325000000001</v>
      </c>
      <c r="R78" t="s">
        <v>254</v>
      </c>
      <c r="U78" t="s">
        <v>249</v>
      </c>
      <c r="V78" t="s">
        <v>256</v>
      </c>
      <c r="W78" t="s">
        <v>182</v>
      </c>
      <c r="X78" s="5" t="b">
        <v>0</v>
      </c>
      <c r="Y78" t="s">
        <v>251</v>
      </c>
      <c r="Z78" t="s">
        <v>252</v>
      </c>
    </row>
    <row r="79" spans="1:26">
      <c r="A79" t="s">
        <v>340</v>
      </c>
      <c r="B79" t="s">
        <v>101</v>
      </c>
      <c r="C79" t="s">
        <v>119</v>
      </c>
      <c r="D79" s="6">
        <v>45892</v>
      </c>
      <c r="E79">
        <v>2025</v>
      </c>
      <c r="F79" t="s">
        <v>43</v>
      </c>
      <c r="G79" t="s">
        <v>76</v>
      </c>
      <c r="H79" t="s">
        <v>77</v>
      </c>
      <c r="I79" t="s">
        <v>281</v>
      </c>
      <c r="L79">
        <v>218.6</v>
      </c>
      <c r="M79" t="s">
        <v>246</v>
      </c>
      <c r="N79" s="7">
        <v>90345</v>
      </c>
      <c r="O79" t="s">
        <v>247</v>
      </c>
      <c r="P79" s="8">
        <v>0.19</v>
      </c>
      <c r="Q79" s="9">
        <f t="shared" si="2"/>
        <v>17165.55</v>
      </c>
      <c r="R79" t="s">
        <v>258</v>
      </c>
      <c r="S79" t="s">
        <v>220</v>
      </c>
      <c r="U79" t="s">
        <v>255</v>
      </c>
      <c r="V79" t="s">
        <v>260</v>
      </c>
      <c r="W79" t="s">
        <v>185</v>
      </c>
      <c r="X79" s="5" t="b">
        <v>0</v>
      </c>
      <c r="Y79" t="s">
        <v>251</v>
      </c>
      <c r="Z79" t="s">
        <v>252</v>
      </c>
    </row>
    <row r="80" spans="1:26">
      <c r="A80" t="s">
        <v>341</v>
      </c>
      <c r="B80" t="s">
        <v>103</v>
      </c>
      <c r="C80" t="s">
        <v>113</v>
      </c>
      <c r="D80" s="6">
        <v>45895</v>
      </c>
      <c r="E80">
        <v>2025</v>
      </c>
      <c r="F80" t="s">
        <v>43</v>
      </c>
      <c r="G80" t="s">
        <v>80</v>
      </c>
      <c r="H80" t="s">
        <v>81</v>
      </c>
      <c r="L80">
        <v>232.3</v>
      </c>
      <c r="M80" t="s">
        <v>246</v>
      </c>
      <c r="N80" s="7">
        <v>91272.5</v>
      </c>
      <c r="O80" t="s">
        <v>247</v>
      </c>
      <c r="P80" s="8">
        <v>0.19</v>
      </c>
      <c r="Q80" s="9">
        <f t="shared" si="2"/>
        <v>17341.775000000001</v>
      </c>
      <c r="R80" t="s">
        <v>248</v>
      </c>
      <c r="S80" t="s">
        <v>224</v>
      </c>
      <c r="U80" t="s">
        <v>259</v>
      </c>
      <c r="V80" t="s">
        <v>250</v>
      </c>
      <c r="W80" t="s">
        <v>187</v>
      </c>
      <c r="X80" s="5" t="b">
        <v>0</v>
      </c>
      <c r="Y80" t="s">
        <v>251</v>
      </c>
      <c r="Z80" t="s">
        <v>252</v>
      </c>
    </row>
    <row r="81" spans="1:26">
      <c r="A81" t="s">
        <v>342</v>
      </c>
      <c r="B81" t="s">
        <v>105</v>
      </c>
      <c r="C81" t="s">
        <v>113</v>
      </c>
      <c r="D81" s="6">
        <v>45898</v>
      </c>
      <c r="E81">
        <v>2025</v>
      </c>
      <c r="F81" t="s">
        <v>43</v>
      </c>
      <c r="G81" t="s">
        <v>84</v>
      </c>
      <c r="H81" t="s">
        <v>85</v>
      </c>
      <c r="I81" t="s">
        <v>284</v>
      </c>
      <c r="L81">
        <v>246</v>
      </c>
      <c r="M81" t="s">
        <v>246</v>
      </c>
      <c r="N81" s="7">
        <v>92200</v>
      </c>
      <c r="O81" t="s">
        <v>247</v>
      </c>
      <c r="P81" s="8">
        <v>0.19</v>
      </c>
      <c r="Q81" s="9">
        <f t="shared" si="2"/>
        <v>17518</v>
      </c>
      <c r="R81" t="s">
        <v>254</v>
      </c>
      <c r="U81" t="s">
        <v>262</v>
      </c>
      <c r="V81" t="s">
        <v>256</v>
      </c>
      <c r="W81" t="s">
        <v>190</v>
      </c>
      <c r="X81" s="5" t="b">
        <v>0</v>
      </c>
      <c r="Y81" t="s">
        <v>251</v>
      </c>
      <c r="Z81" t="s">
        <v>252</v>
      </c>
    </row>
    <row r="82" spans="1:26">
      <c r="A82" t="s">
        <v>343</v>
      </c>
      <c r="B82" t="s">
        <v>40</v>
      </c>
      <c r="C82" t="s">
        <v>119</v>
      </c>
      <c r="D82" s="6">
        <v>45901</v>
      </c>
      <c r="E82">
        <v>2025</v>
      </c>
      <c r="F82" t="s">
        <v>43</v>
      </c>
      <c r="G82" t="s">
        <v>44</v>
      </c>
      <c r="H82" t="s">
        <v>45</v>
      </c>
      <c r="L82">
        <v>259.7</v>
      </c>
      <c r="M82" t="s">
        <v>246</v>
      </c>
      <c r="N82" s="7">
        <v>93127.5</v>
      </c>
      <c r="O82" t="s">
        <v>247</v>
      </c>
      <c r="P82" s="8">
        <v>0.19</v>
      </c>
      <c r="Q82" s="9">
        <f t="shared" si="2"/>
        <v>17694.224999999999</v>
      </c>
      <c r="R82" t="s">
        <v>258</v>
      </c>
      <c r="S82" t="s">
        <v>220</v>
      </c>
      <c r="U82" t="s">
        <v>249</v>
      </c>
      <c r="V82" t="s">
        <v>260</v>
      </c>
      <c r="W82" t="s">
        <v>192</v>
      </c>
      <c r="X82" s="5" t="b">
        <v>0</v>
      </c>
      <c r="Y82" t="s">
        <v>251</v>
      </c>
      <c r="Z82" t="s">
        <v>252</v>
      </c>
    </row>
    <row r="83" spans="1:26">
      <c r="A83" t="s">
        <v>344</v>
      </c>
      <c r="B83" t="s">
        <v>48</v>
      </c>
      <c r="C83" t="s">
        <v>113</v>
      </c>
      <c r="D83" s="6">
        <v>45904</v>
      </c>
      <c r="E83">
        <v>2025</v>
      </c>
      <c r="F83" t="s">
        <v>43</v>
      </c>
      <c r="G83" t="s">
        <v>50</v>
      </c>
      <c r="H83" t="s">
        <v>51</v>
      </c>
      <c r="I83" t="s">
        <v>138</v>
      </c>
      <c r="L83">
        <v>273.39999999999998</v>
      </c>
      <c r="M83" t="s">
        <v>246</v>
      </c>
      <c r="N83" s="7">
        <v>94055</v>
      </c>
      <c r="O83" t="s">
        <v>247</v>
      </c>
      <c r="P83" s="8">
        <v>0.19</v>
      </c>
      <c r="Q83" s="9">
        <f t="shared" si="2"/>
        <v>17870.45</v>
      </c>
      <c r="R83" t="s">
        <v>248</v>
      </c>
      <c r="S83" t="s">
        <v>224</v>
      </c>
      <c r="U83" t="s">
        <v>255</v>
      </c>
      <c r="V83" t="s">
        <v>250</v>
      </c>
      <c r="W83" t="s">
        <v>194</v>
      </c>
      <c r="X83" s="5" t="b">
        <v>0</v>
      </c>
      <c r="Y83" t="s">
        <v>251</v>
      </c>
      <c r="Z83" t="s">
        <v>252</v>
      </c>
    </row>
    <row r="84" spans="1:26">
      <c r="A84" t="s">
        <v>345</v>
      </c>
      <c r="B84" t="s">
        <v>52</v>
      </c>
      <c r="C84" t="s">
        <v>113</v>
      </c>
      <c r="D84" s="6">
        <v>45907</v>
      </c>
      <c r="E84">
        <v>2025</v>
      </c>
      <c r="F84" t="s">
        <v>43</v>
      </c>
      <c r="G84" t="s">
        <v>54</v>
      </c>
      <c r="H84" t="s">
        <v>55</v>
      </c>
      <c r="L84">
        <v>287.10000000000002</v>
      </c>
      <c r="M84" t="s">
        <v>246</v>
      </c>
      <c r="N84" s="7">
        <v>94982.5</v>
      </c>
      <c r="O84" t="s">
        <v>247</v>
      </c>
      <c r="P84" s="8">
        <v>0.19</v>
      </c>
      <c r="Q84" s="9">
        <f t="shared" si="2"/>
        <v>18046.674999999999</v>
      </c>
      <c r="R84" t="s">
        <v>254</v>
      </c>
      <c r="U84" t="s">
        <v>259</v>
      </c>
      <c r="V84" t="s">
        <v>256</v>
      </c>
      <c r="W84" t="s">
        <v>196</v>
      </c>
      <c r="X84" s="5" t="b">
        <v>0</v>
      </c>
      <c r="Y84" t="s">
        <v>251</v>
      </c>
      <c r="Z84" t="s">
        <v>252</v>
      </c>
    </row>
    <row r="85" spans="1:26">
      <c r="A85" t="s">
        <v>346</v>
      </c>
      <c r="B85" t="s">
        <v>57</v>
      </c>
      <c r="C85" t="s">
        <v>119</v>
      </c>
      <c r="D85" s="6">
        <v>45910</v>
      </c>
      <c r="E85">
        <v>2025</v>
      </c>
      <c r="F85" t="s">
        <v>43</v>
      </c>
      <c r="G85" t="s">
        <v>59</v>
      </c>
      <c r="H85" t="s">
        <v>60</v>
      </c>
      <c r="I85" t="s">
        <v>147</v>
      </c>
      <c r="L85">
        <v>300.8</v>
      </c>
      <c r="M85" t="s">
        <v>246</v>
      </c>
      <c r="N85" s="7">
        <v>95910</v>
      </c>
      <c r="O85" t="s">
        <v>247</v>
      </c>
      <c r="P85" s="8">
        <v>0.19</v>
      </c>
      <c r="Q85" s="9">
        <f t="shared" si="2"/>
        <v>18222.900000000001</v>
      </c>
      <c r="R85" t="s">
        <v>258</v>
      </c>
      <c r="S85" t="s">
        <v>220</v>
      </c>
      <c r="U85" t="s">
        <v>262</v>
      </c>
      <c r="V85" t="s">
        <v>260</v>
      </c>
      <c r="W85" t="s">
        <v>198</v>
      </c>
      <c r="X85" s="5" t="b">
        <v>0</v>
      </c>
      <c r="Y85" t="s">
        <v>251</v>
      </c>
      <c r="Z85" t="s">
        <v>252</v>
      </c>
    </row>
    <row r="86" spans="1:26">
      <c r="A86" t="s">
        <v>347</v>
      </c>
      <c r="B86" t="s">
        <v>62</v>
      </c>
      <c r="C86" t="s">
        <v>113</v>
      </c>
      <c r="D86" s="6">
        <v>45913</v>
      </c>
      <c r="E86">
        <v>2025</v>
      </c>
      <c r="F86" t="s">
        <v>43</v>
      </c>
      <c r="G86" t="s">
        <v>64</v>
      </c>
      <c r="H86" t="s">
        <v>65</v>
      </c>
      <c r="L86">
        <v>314.5</v>
      </c>
      <c r="M86" t="s">
        <v>246</v>
      </c>
      <c r="N86" s="7">
        <v>96837.5</v>
      </c>
      <c r="O86" t="s">
        <v>247</v>
      </c>
      <c r="P86" s="8">
        <v>0.19</v>
      </c>
      <c r="Q86" s="9">
        <f t="shared" si="2"/>
        <v>18399.125</v>
      </c>
      <c r="R86" t="s">
        <v>248</v>
      </c>
      <c r="S86" t="s">
        <v>224</v>
      </c>
      <c r="U86" t="s">
        <v>249</v>
      </c>
      <c r="V86" t="s">
        <v>250</v>
      </c>
      <c r="W86" t="s">
        <v>200</v>
      </c>
      <c r="X86" s="5" t="b">
        <v>0</v>
      </c>
      <c r="Y86" t="s">
        <v>251</v>
      </c>
      <c r="Z86" t="s">
        <v>252</v>
      </c>
    </row>
    <row r="87" spans="1:26">
      <c r="A87" t="s">
        <v>348</v>
      </c>
      <c r="B87" t="s">
        <v>66</v>
      </c>
      <c r="C87" t="s">
        <v>113</v>
      </c>
      <c r="D87" s="6">
        <v>45916</v>
      </c>
      <c r="E87">
        <v>2025</v>
      </c>
      <c r="F87" t="s">
        <v>43</v>
      </c>
      <c r="G87" t="s">
        <v>68</v>
      </c>
      <c r="H87" t="s">
        <v>69</v>
      </c>
      <c r="I87" t="s">
        <v>265</v>
      </c>
      <c r="L87">
        <v>328.2</v>
      </c>
      <c r="M87" t="s">
        <v>246</v>
      </c>
      <c r="N87" s="7">
        <v>97765</v>
      </c>
      <c r="O87" t="s">
        <v>247</v>
      </c>
      <c r="P87" s="8">
        <v>0.19</v>
      </c>
      <c r="Q87" s="9">
        <f t="shared" si="2"/>
        <v>18575.349999999999</v>
      </c>
      <c r="R87" t="s">
        <v>254</v>
      </c>
      <c r="U87" t="s">
        <v>255</v>
      </c>
      <c r="V87" t="s">
        <v>256</v>
      </c>
      <c r="W87" t="s">
        <v>202</v>
      </c>
      <c r="X87" s="5" t="b">
        <v>0</v>
      </c>
      <c r="Y87" t="s">
        <v>251</v>
      </c>
      <c r="Z87" t="s">
        <v>252</v>
      </c>
    </row>
    <row r="88" spans="1:26">
      <c r="A88" t="s">
        <v>349</v>
      </c>
      <c r="B88" t="s">
        <v>70</v>
      </c>
      <c r="C88" t="s">
        <v>119</v>
      </c>
      <c r="D88" s="6">
        <v>45919</v>
      </c>
      <c r="E88">
        <v>2025</v>
      </c>
      <c r="F88" t="s">
        <v>43</v>
      </c>
      <c r="G88" t="s">
        <v>72</v>
      </c>
      <c r="H88" t="s">
        <v>73</v>
      </c>
      <c r="L88">
        <v>341.9</v>
      </c>
      <c r="M88" t="s">
        <v>246</v>
      </c>
      <c r="N88" s="7">
        <v>98692.5</v>
      </c>
      <c r="O88" t="s">
        <v>247</v>
      </c>
      <c r="P88" s="8">
        <v>0.19</v>
      </c>
      <c r="Q88" s="9">
        <f t="shared" si="2"/>
        <v>18751.575000000001</v>
      </c>
      <c r="R88" t="s">
        <v>258</v>
      </c>
      <c r="S88" t="s">
        <v>220</v>
      </c>
      <c r="U88" t="s">
        <v>259</v>
      </c>
      <c r="V88" t="s">
        <v>260</v>
      </c>
      <c r="W88" t="s">
        <v>204</v>
      </c>
      <c r="X88" s="5" t="b">
        <v>0</v>
      </c>
      <c r="Y88" t="s">
        <v>251</v>
      </c>
      <c r="Z88" t="s">
        <v>252</v>
      </c>
    </row>
    <row r="89" spans="1:26">
      <c r="A89" t="s">
        <v>350</v>
      </c>
      <c r="B89" t="s">
        <v>74</v>
      </c>
      <c r="C89" t="s">
        <v>113</v>
      </c>
      <c r="D89" s="6">
        <v>46037</v>
      </c>
      <c r="E89">
        <v>2025</v>
      </c>
      <c r="F89" t="s">
        <v>43</v>
      </c>
      <c r="G89" t="s">
        <v>76</v>
      </c>
      <c r="H89" t="s">
        <v>77</v>
      </c>
      <c r="I89" t="s">
        <v>268</v>
      </c>
      <c r="L89">
        <v>355.6</v>
      </c>
      <c r="M89" t="s">
        <v>246</v>
      </c>
      <c r="N89" s="7">
        <v>99620</v>
      </c>
      <c r="O89" t="s">
        <v>247</v>
      </c>
      <c r="P89" s="8">
        <v>0.19</v>
      </c>
      <c r="Q89" s="9">
        <f t="shared" si="2"/>
        <v>18927.8</v>
      </c>
      <c r="R89" t="s">
        <v>248</v>
      </c>
      <c r="S89" t="s">
        <v>224</v>
      </c>
      <c r="U89" t="s">
        <v>262</v>
      </c>
      <c r="V89" t="s">
        <v>250</v>
      </c>
      <c r="W89" t="s">
        <v>206</v>
      </c>
      <c r="X89" s="5" t="b">
        <v>0</v>
      </c>
      <c r="Y89" t="s">
        <v>251</v>
      </c>
      <c r="Z89" t="s">
        <v>252</v>
      </c>
    </row>
    <row r="90" spans="1:26">
      <c r="A90" t="s">
        <v>351</v>
      </c>
      <c r="B90" t="s">
        <v>78</v>
      </c>
      <c r="C90" t="s">
        <v>113</v>
      </c>
      <c r="D90" s="6">
        <v>45925</v>
      </c>
      <c r="E90">
        <v>2025</v>
      </c>
      <c r="F90" t="s">
        <v>43</v>
      </c>
      <c r="G90" t="s">
        <v>80</v>
      </c>
      <c r="H90" t="s">
        <v>81</v>
      </c>
      <c r="L90">
        <v>369.3</v>
      </c>
      <c r="M90" t="s">
        <v>246</v>
      </c>
      <c r="N90" s="7">
        <v>100547.5</v>
      </c>
      <c r="O90" t="s">
        <v>247</v>
      </c>
      <c r="P90" s="8">
        <v>0.19</v>
      </c>
      <c r="Q90" s="9">
        <f t="shared" si="2"/>
        <v>19104.025000000001</v>
      </c>
      <c r="R90" t="s">
        <v>254</v>
      </c>
      <c r="U90" t="s">
        <v>249</v>
      </c>
      <c r="V90" t="s">
        <v>256</v>
      </c>
      <c r="W90" t="s">
        <v>208</v>
      </c>
      <c r="X90" s="5" t="b">
        <v>0</v>
      </c>
      <c r="Y90" t="s">
        <v>251</v>
      </c>
      <c r="Z90" t="s">
        <v>252</v>
      </c>
    </row>
    <row r="91" spans="1:26">
      <c r="A91" t="s">
        <v>352</v>
      </c>
      <c r="B91" t="s">
        <v>82</v>
      </c>
      <c r="C91" t="s">
        <v>119</v>
      </c>
      <c r="D91" s="6">
        <v>45928</v>
      </c>
      <c r="E91">
        <v>2025</v>
      </c>
      <c r="F91" t="s">
        <v>43</v>
      </c>
      <c r="G91" t="s">
        <v>84</v>
      </c>
      <c r="H91" t="s">
        <v>85</v>
      </c>
      <c r="I91" t="s">
        <v>271</v>
      </c>
      <c r="L91">
        <v>383</v>
      </c>
      <c r="M91" t="s">
        <v>246</v>
      </c>
      <c r="N91" s="7">
        <v>101475</v>
      </c>
      <c r="O91" t="s">
        <v>247</v>
      </c>
      <c r="P91" s="8">
        <v>0.19</v>
      </c>
      <c r="Q91" s="9">
        <f t="shared" si="2"/>
        <v>19280.25</v>
      </c>
      <c r="R91" t="s">
        <v>258</v>
      </c>
      <c r="S91" t="s">
        <v>220</v>
      </c>
      <c r="U91" t="s">
        <v>255</v>
      </c>
      <c r="V91" t="s">
        <v>260</v>
      </c>
      <c r="W91" t="s">
        <v>210</v>
      </c>
      <c r="X91" s="5" t="b">
        <v>0</v>
      </c>
      <c r="Y91" t="s">
        <v>251</v>
      </c>
      <c r="Z91" t="s">
        <v>252</v>
      </c>
    </row>
    <row r="92" spans="1:26">
      <c r="A92" t="s">
        <v>353</v>
      </c>
      <c r="B92" t="s">
        <v>86</v>
      </c>
      <c r="C92" t="s">
        <v>113</v>
      </c>
      <c r="D92" s="6">
        <v>45931</v>
      </c>
      <c r="E92">
        <v>2025</v>
      </c>
      <c r="F92" t="s">
        <v>43</v>
      </c>
      <c r="G92" t="s">
        <v>44</v>
      </c>
      <c r="H92" t="s">
        <v>45</v>
      </c>
      <c r="L92">
        <v>396.7</v>
      </c>
      <c r="M92" t="s">
        <v>246</v>
      </c>
      <c r="N92" s="7">
        <v>102402.5</v>
      </c>
      <c r="O92" t="s">
        <v>247</v>
      </c>
      <c r="P92" s="8">
        <v>0.19</v>
      </c>
      <c r="Q92" s="9">
        <f t="shared" si="2"/>
        <v>19456.474999999999</v>
      </c>
      <c r="R92" t="s">
        <v>248</v>
      </c>
      <c r="S92" t="s">
        <v>224</v>
      </c>
      <c r="U92" t="s">
        <v>259</v>
      </c>
      <c r="V92" t="s">
        <v>250</v>
      </c>
      <c r="W92" t="s">
        <v>131</v>
      </c>
      <c r="X92" s="5" t="b">
        <v>0</v>
      </c>
      <c r="Y92" t="s">
        <v>251</v>
      </c>
      <c r="Z92" t="s">
        <v>252</v>
      </c>
    </row>
    <row r="93" spans="1:26">
      <c r="A93" t="s">
        <v>354</v>
      </c>
      <c r="B93" t="s">
        <v>88</v>
      </c>
      <c r="C93" t="s">
        <v>113</v>
      </c>
      <c r="D93" s="6">
        <v>45934</v>
      </c>
      <c r="E93">
        <v>2025</v>
      </c>
      <c r="F93" t="s">
        <v>43</v>
      </c>
      <c r="G93" t="s">
        <v>50</v>
      </c>
      <c r="H93" t="s">
        <v>51</v>
      </c>
      <c r="I93" t="s">
        <v>171</v>
      </c>
      <c r="L93">
        <v>410.4</v>
      </c>
      <c r="M93" t="s">
        <v>246</v>
      </c>
      <c r="N93" s="7">
        <v>103330</v>
      </c>
      <c r="O93" t="s">
        <v>247</v>
      </c>
      <c r="P93" s="8">
        <v>0.19</v>
      </c>
      <c r="Q93" s="9">
        <f t="shared" si="2"/>
        <v>19632.7</v>
      </c>
      <c r="R93" t="s">
        <v>254</v>
      </c>
      <c r="U93" t="s">
        <v>262</v>
      </c>
      <c r="V93" t="s">
        <v>256</v>
      </c>
      <c r="W93" t="s">
        <v>137</v>
      </c>
      <c r="X93" s="5" t="b">
        <v>0</v>
      </c>
      <c r="Y93" t="s">
        <v>251</v>
      </c>
      <c r="Z93" t="s">
        <v>252</v>
      </c>
    </row>
    <row r="94" spans="1:26">
      <c r="A94" t="s">
        <v>355</v>
      </c>
      <c r="B94" t="s">
        <v>90</v>
      </c>
      <c r="C94" t="s">
        <v>119</v>
      </c>
      <c r="D94" s="6">
        <v>45937</v>
      </c>
      <c r="E94">
        <v>2025</v>
      </c>
      <c r="F94" t="s">
        <v>43</v>
      </c>
      <c r="G94" t="s">
        <v>54</v>
      </c>
      <c r="H94" t="s">
        <v>55</v>
      </c>
      <c r="L94">
        <v>424.1</v>
      </c>
      <c r="M94" t="s">
        <v>246</v>
      </c>
      <c r="N94" s="7">
        <v>104257.5</v>
      </c>
      <c r="O94" t="s">
        <v>247</v>
      </c>
      <c r="P94" s="8">
        <v>0.19</v>
      </c>
      <c r="Q94" s="9">
        <f t="shared" si="2"/>
        <v>19808.924999999999</v>
      </c>
      <c r="R94" t="s">
        <v>258</v>
      </c>
      <c r="S94" t="s">
        <v>220</v>
      </c>
      <c r="U94" t="s">
        <v>249</v>
      </c>
      <c r="V94" t="s">
        <v>260</v>
      </c>
      <c r="W94" t="s">
        <v>142</v>
      </c>
      <c r="X94" s="5" t="b">
        <v>0</v>
      </c>
      <c r="Y94" t="s">
        <v>251</v>
      </c>
      <c r="Z94" t="s">
        <v>252</v>
      </c>
    </row>
    <row r="95" spans="1:26">
      <c r="A95" t="s">
        <v>356</v>
      </c>
      <c r="B95" t="s">
        <v>92</v>
      </c>
      <c r="C95" t="s">
        <v>113</v>
      </c>
      <c r="D95" s="6">
        <v>45940</v>
      </c>
      <c r="E95">
        <v>2025</v>
      </c>
      <c r="F95" t="s">
        <v>43</v>
      </c>
      <c r="G95" t="s">
        <v>59</v>
      </c>
      <c r="H95" t="s">
        <v>60</v>
      </c>
      <c r="I95" t="s">
        <v>176</v>
      </c>
      <c r="L95">
        <v>437.8</v>
      </c>
      <c r="M95" t="s">
        <v>246</v>
      </c>
      <c r="N95" s="7">
        <v>105185</v>
      </c>
      <c r="O95" t="s">
        <v>247</v>
      </c>
      <c r="P95" s="8">
        <v>0.19</v>
      </c>
      <c r="Q95" s="9">
        <f t="shared" si="2"/>
        <v>19985.150000000001</v>
      </c>
      <c r="R95" t="s">
        <v>248</v>
      </c>
      <c r="S95" t="s">
        <v>224</v>
      </c>
      <c r="U95" t="s">
        <v>255</v>
      </c>
      <c r="V95" t="s">
        <v>250</v>
      </c>
      <c r="W95" t="s">
        <v>146</v>
      </c>
      <c r="X95" s="5" t="b">
        <v>0</v>
      </c>
      <c r="Y95" t="s">
        <v>251</v>
      </c>
      <c r="Z95" t="s">
        <v>252</v>
      </c>
    </row>
    <row r="96" spans="1:26">
      <c r="A96" t="s">
        <v>357</v>
      </c>
      <c r="B96" t="s">
        <v>94</v>
      </c>
      <c r="C96" t="s">
        <v>113</v>
      </c>
      <c r="D96" s="6">
        <v>45943</v>
      </c>
      <c r="E96">
        <v>2025</v>
      </c>
      <c r="F96" t="s">
        <v>43</v>
      </c>
      <c r="G96" t="s">
        <v>64</v>
      </c>
      <c r="H96" t="s">
        <v>65</v>
      </c>
      <c r="L96">
        <v>451.5</v>
      </c>
      <c r="M96" t="s">
        <v>246</v>
      </c>
      <c r="N96" s="7">
        <v>106112.5</v>
      </c>
      <c r="O96" t="s">
        <v>247</v>
      </c>
      <c r="P96" s="8">
        <v>0.19</v>
      </c>
      <c r="Q96" s="9">
        <f t="shared" si="2"/>
        <v>20161.375</v>
      </c>
      <c r="R96" t="s">
        <v>254</v>
      </c>
      <c r="U96" t="s">
        <v>259</v>
      </c>
      <c r="V96" t="s">
        <v>256</v>
      </c>
      <c r="W96" t="s">
        <v>151</v>
      </c>
      <c r="X96" s="5" t="b">
        <v>0</v>
      </c>
      <c r="Y96" t="s">
        <v>251</v>
      </c>
      <c r="Z96" t="s">
        <v>252</v>
      </c>
    </row>
    <row r="97" spans="1:26">
      <c r="A97" t="s">
        <v>358</v>
      </c>
      <c r="B97" t="s">
        <v>96</v>
      </c>
      <c r="C97" t="s">
        <v>119</v>
      </c>
      <c r="D97" s="6">
        <v>45946</v>
      </c>
      <c r="E97">
        <v>2025</v>
      </c>
      <c r="F97" t="s">
        <v>43</v>
      </c>
      <c r="G97" t="s">
        <v>68</v>
      </c>
      <c r="H97" t="s">
        <v>69</v>
      </c>
      <c r="I97" t="s">
        <v>278</v>
      </c>
      <c r="L97">
        <v>465.2</v>
      </c>
      <c r="M97" t="s">
        <v>246</v>
      </c>
      <c r="N97" s="7">
        <v>107040</v>
      </c>
      <c r="O97" t="s">
        <v>247</v>
      </c>
      <c r="P97" s="8">
        <v>0.19</v>
      </c>
      <c r="Q97" s="9">
        <f t="shared" si="2"/>
        <v>20337.599999999999</v>
      </c>
      <c r="R97" t="s">
        <v>258</v>
      </c>
      <c r="S97" t="s">
        <v>220</v>
      </c>
      <c r="U97" t="s">
        <v>262</v>
      </c>
      <c r="V97" t="s">
        <v>260</v>
      </c>
      <c r="W97" t="s">
        <v>155</v>
      </c>
      <c r="X97" s="5" t="b">
        <v>0</v>
      </c>
      <c r="Y97" t="s">
        <v>251</v>
      </c>
      <c r="Z97" t="s">
        <v>252</v>
      </c>
    </row>
    <row r="98" spans="1:26">
      <c r="A98" t="s">
        <v>359</v>
      </c>
      <c r="B98" t="s">
        <v>99</v>
      </c>
      <c r="C98" t="s">
        <v>113</v>
      </c>
      <c r="D98" s="6">
        <v>45949</v>
      </c>
      <c r="E98">
        <v>2025</v>
      </c>
      <c r="F98" t="s">
        <v>43</v>
      </c>
      <c r="G98" t="s">
        <v>72</v>
      </c>
      <c r="H98" t="s">
        <v>73</v>
      </c>
      <c r="L98">
        <v>478.9</v>
      </c>
      <c r="M98" t="s">
        <v>246</v>
      </c>
      <c r="N98" s="7">
        <v>107967.5</v>
      </c>
      <c r="O98" t="s">
        <v>247</v>
      </c>
      <c r="P98" s="8">
        <v>0.19</v>
      </c>
      <c r="Q98" s="9">
        <f t="shared" ref="Q98:Q101" si="3">N98*P98</f>
        <v>20513.825000000001</v>
      </c>
      <c r="R98" t="s">
        <v>248</v>
      </c>
      <c r="S98" t="s">
        <v>224</v>
      </c>
      <c r="U98" t="s">
        <v>249</v>
      </c>
      <c r="V98" t="s">
        <v>250</v>
      </c>
      <c r="W98" t="s">
        <v>158</v>
      </c>
      <c r="X98" s="5" t="b">
        <v>0</v>
      </c>
      <c r="Y98" t="s">
        <v>251</v>
      </c>
      <c r="Z98" t="s">
        <v>252</v>
      </c>
    </row>
    <row r="99" spans="1:26">
      <c r="A99" t="s">
        <v>360</v>
      </c>
      <c r="B99" t="s">
        <v>101</v>
      </c>
      <c r="C99" t="s">
        <v>113</v>
      </c>
      <c r="D99" s="6">
        <v>45952</v>
      </c>
      <c r="E99">
        <v>2025</v>
      </c>
      <c r="F99" t="s">
        <v>43</v>
      </c>
      <c r="G99" t="s">
        <v>76</v>
      </c>
      <c r="H99" t="s">
        <v>77</v>
      </c>
      <c r="I99" t="s">
        <v>281</v>
      </c>
      <c r="L99">
        <v>492.6</v>
      </c>
      <c r="M99" t="s">
        <v>246</v>
      </c>
      <c r="N99" s="7">
        <v>108895</v>
      </c>
      <c r="O99" t="s">
        <v>247</v>
      </c>
      <c r="P99" s="8">
        <v>0.19</v>
      </c>
      <c r="Q99" s="9">
        <f t="shared" si="3"/>
        <v>20690.05</v>
      </c>
      <c r="R99" t="s">
        <v>254</v>
      </c>
      <c r="U99" t="s">
        <v>255</v>
      </c>
      <c r="V99" t="s">
        <v>256</v>
      </c>
      <c r="W99" t="s">
        <v>161</v>
      </c>
      <c r="X99" s="5" t="b">
        <v>0</v>
      </c>
      <c r="Y99" t="s">
        <v>251</v>
      </c>
      <c r="Z99" t="s">
        <v>252</v>
      </c>
    </row>
    <row r="100" spans="1:26">
      <c r="A100" t="s">
        <v>361</v>
      </c>
      <c r="B100" t="s">
        <v>103</v>
      </c>
      <c r="C100" t="s">
        <v>119</v>
      </c>
      <c r="D100" s="6">
        <v>45955</v>
      </c>
      <c r="E100">
        <v>2025</v>
      </c>
      <c r="F100" t="s">
        <v>43</v>
      </c>
      <c r="G100" t="s">
        <v>80</v>
      </c>
      <c r="H100" t="s">
        <v>81</v>
      </c>
      <c r="L100">
        <v>506.3</v>
      </c>
      <c r="M100" t="s">
        <v>246</v>
      </c>
      <c r="N100" s="7">
        <v>109822.5</v>
      </c>
      <c r="O100" t="s">
        <v>247</v>
      </c>
      <c r="P100" s="8">
        <v>0.19</v>
      </c>
      <c r="Q100" s="9">
        <f t="shared" si="3"/>
        <v>20866.275000000001</v>
      </c>
      <c r="R100" t="s">
        <v>258</v>
      </c>
      <c r="S100" t="s">
        <v>220</v>
      </c>
      <c r="U100" t="s">
        <v>259</v>
      </c>
      <c r="V100" t="s">
        <v>260</v>
      </c>
      <c r="W100" t="s">
        <v>163</v>
      </c>
      <c r="X100" s="5" t="b">
        <v>0</v>
      </c>
      <c r="Y100" t="s">
        <v>251</v>
      </c>
      <c r="Z100" t="s">
        <v>252</v>
      </c>
    </row>
    <row r="101" spans="1:26">
      <c r="A101" t="s">
        <v>362</v>
      </c>
      <c r="B101" t="s">
        <v>105</v>
      </c>
      <c r="C101" t="s">
        <v>113</v>
      </c>
      <c r="D101" s="6">
        <v>45958</v>
      </c>
      <c r="E101">
        <v>2025</v>
      </c>
      <c r="F101" t="s">
        <v>43</v>
      </c>
      <c r="G101" t="s">
        <v>84</v>
      </c>
      <c r="H101" t="s">
        <v>85</v>
      </c>
      <c r="I101" t="s">
        <v>284</v>
      </c>
      <c r="L101">
        <v>520</v>
      </c>
      <c r="M101" t="s">
        <v>246</v>
      </c>
      <c r="N101" s="7">
        <v>110750</v>
      </c>
      <c r="O101" t="s">
        <v>247</v>
      </c>
      <c r="P101" s="8">
        <v>0.19</v>
      </c>
      <c r="Q101" s="9">
        <f t="shared" si="3"/>
        <v>21042.5</v>
      </c>
      <c r="R101" t="s">
        <v>248</v>
      </c>
      <c r="S101" t="s">
        <v>224</v>
      </c>
      <c r="U101" t="s">
        <v>262</v>
      </c>
      <c r="V101" t="s">
        <v>250</v>
      </c>
      <c r="W101" t="s">
        <v>166</v>
      </c>
      <c r="X101" s="5" t="b">
        <v>0</v>
      </c>
      <c r="Y101" t="s">
        <v>251</v>
      </c>
      <c r="Z101" t="s">
        <v>252</v>
      </c>
    </row>
  </sheetData>
  <dataValidations count="4">
    <dataValidation type="list" sqref="R2:R101" xr:uid="{00000000-0002-0000-0500-000000000000}">
      <formula1>"Spend-based,Activity-based,Supplier-specific"</formula1>
    </dataValidation>
    <dataValidation type="list" sqref="U2:U101" xr:uid="{00000000-0002-0000-0500-000001000000}">
      <formula1>"VERIFIED_DCF,CLAIMED_DCF,NOT_VERIFIED,UNKNOWN"</formula1>
    </dataValidation>
    <dataValidation type="list" sqref="V2:V101" xr:uid="{00000000-0002-0000-0500-000002000000}">
      <formula1>"COUNTRY,MUNICIPALITY,FARM"</formula1>
    </dataValidation>
    <dataValidation type="list" sqref="M2:M101" xr:uid="{00000000-0002-0000-0500-000003000000}">
      <formula1>"kg,tonne"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I22" sqref="I22"/>
    </sheetView>
  </sheetViews>
  <sheetFormatPr defaultRowHeight="14.25"/>
  <cols>
    <col min="1" max="1" width="16" customWidth="1"/>
    <col min="2" max="2" width="14" customWidth="1"/>
    <col min="3" max="3" width="28" customWidth="1"/>
    <col min="4" max="4" width="14" customWidth="1"/>
    <col min="5" max="5" width="12" customWidth="1"/>
    <col min="6" max="6" width="45" customWidth="1"/>
    <col min="7" max="8" width="16" customWidth="1"/>
    <col min="9" max="9" width="38" customWidth="1"/>
    <col min="10" max="10" width="20" customWidth="1"/>
    <col min="11" max="11" width="38" customWidth="1"/>
  </cols>
  <sheetData>
    <row r="1" spans="1:11" ht="15">
      <c r="A1" s="4" t="s">
        <v>227</v>
      </c>
      <c r="B1" s="4" t="s">
        <v>363</v>
      </c>
      <c r="C1" s="4" t="s">
        <v>364</v>
      </c>
      <c r="D1" s="4" t="s">
        <v>365</v>
      </c>
      <c r="E1" s="4" t="s">
        <v>366</v>
      </c>
      <c r="F1" s="4" t="s">
        <v>367</v>
      </c>
      <c r="G1" s="4" t="s">
        <v>129</v>
      </c>
      <c r="H1" s="4" t="s">
        <v>130</v>
      </c>
      <c r="I1" s="4" t="s">
        <v>368</v>
      </c>
      <c r="J1" s="4" t="s">
        <v>369</v>
      </c>
      <c r="K1" s="4" t="s">
        <v>39</v>
      </c>
    </row>
    <row r="2" spans="1:11">
      <c r="A2" t="s">
        <v>282</v>
      </c>
      <c r="B2" t="s">
        <v>370</v>
      </c>
      <c r="C2" t="s">
        <v>371</v>
      </c>
      <c r="D2" t="s">
        <v>372</v>
      </c>
      <c r="E2" t="s">
        <v>373</v>
      </c>
      <c r="F2" t="s">
        <v>374</v>
      </c>
      <c r="G2" t="s">
        <v>375</v>
      </c>
      <c r="J2" t="s">
        <v>376</v>
      </c>
      <c r="K2" t="s">
        <v>377</v>
      </c>
    </row>
    <row r="3" spans="1:11">
      <c r="A3" t="s">
        <v>339</v>
      </c>
      <c r="B3" t="s">
        <v>370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J3" t="s">
        <v>376</v>
      </c>
      <c r="K3" t="s">
        <v>377</v>
      </c>
    </row>
    <row r="4" spans="1:11">
      <c r="A4" t="s">
        <v>288</v>
      </c>
      <c r="B4" t="s">
        <v>378</v>
      </c>
      <c r="C4" t="s">
        <v>379</v>
      </c>
      <c r="D4" t="s">
        <v>372</v>
      </c>
      <c r="E4" t="s">
        <v>373</v>
      </c>
      <c r="F4" t="s">
        <v>380</v>
      </c>
      <c r="G4" t="s">
        <v>375</v>
      </c>
      <c r="J4" t="s">
        <v>376</v>
      </c>
      <c r="K4" t="s">
        <v>377</v>
      </c>
    </row>
    <row r="5" spans="1:11">
      <c r="A5" t="s">
        <v>350</v>
      </c>
      <c r="B5" t="s">
        <v>378</v>
      </c>
      <c r="C5" t="s">
        <v>379</v>
      </c>
      <c r="D5" t="s">
        <v>372</v>
      </c>
      <c r="E5" t="s">
        <v>373</v>
      </c>
      <c r="F5" t="s">
        <v>380</v>
      </c>
      <c r="G5" t="s">
        <v>375</v>
      </c>
      <c r="J5" t="s">
        <v>376</v>
      </c>
      <c r="K5" t="s">
        <v>377</v>
      </c>
    </row>
    <row r="6" spans="1:11">
      <c r="A6" t="s">
        <v>272</v>
      </c>
      <c r="B6" t="s">
        <v>381</v>
      </c>
      <c r="C6" t="s">
        <v>382</v>
      </c>
      <c r="D6" t="s">
        <v>372</v>
      </c>
      <c r="E6" t="s">
        <v>373</v>
      </c>
      <c r="F6" t="s">
        <v>383</v>
      </c>
      <c r="G6" t="s">
        <v>375</v>
      </c>
      <c r="J6" t="s">
        <v>376</v>
      </c>
      <c r="K6" t="s">
        <v>377</v>
      </c>
    </row>
    <row r="7" spans="1:11">
      <c r="A7" t="s">
        <v>308</v>
      </c>
      <c r="B7" t="s">
        <v>381</v>
      </c>
      <c r="C7" t="s">
        <v>382</v>
      </c>
      <c r="D7" t="s">
        <v>372</v>
      </c>
      <c r="E7" t="s">
        <v>373</v>
      </c>
      <c r="F7" t="s">
        <v>383</v>
      </c>
      <c r="G7" t="s">
        <v>375</v>
      </c>
      <c r="J7" t="s">
        <v>376</v>
      </c>
      <c r="K7" t="s">
        <v>377</v>
      </c>
    </row>
    <row r="8" spans="1:11">
      <c r="A8" t="s">
        <v>303</v>
      </c>
      <c r="B8" t="s">
        <v>384</v>
      </c>
      <c r="C8" t="s">
        <v>385</v>
      </c>
      <c r="D8" t="s">
        <v>372</v>
      </c>
      <c r="E8" t="s">
        <v>373</v>
      </c>
      <c r="F8" t="s">
        <v>386</v>
      </c>
      <c r="G8" t="s">
        <v>375</v>
      </c>
      <c r="J8" t="s">
        <v>376</v>
      </c>
      <c r="K8" t="s">
        <v>387</v>
      </c>
    </row>
    <row r="9" spans="1:11">
      <c r="A9" t="s">
        <v>337</v>
      </c>
      <c r="B9" t="s">
        <v>384</v>
      </c>
      <c r="C9" t="s">
        <v>385</v>
      </c>
      <c r="D9" t="s">
        <v>372</v>
      </c>
      <c r="E9" t="s">
        <v>373</v>
      </c>
      <c r="F9" t="s">
        <v>386</v>
      </c>
      <c r="G9" t="s">
        <v>375</v>
      </c>
      <c r="J9" t="s">
        <v>376</v>
      </c>
      <c r="K9" t="s">
        <v>387</v>
      </c>
    </row>
    <row r="10" spans="1:11">
      <c r="A10" t="s">
        <v>297</v>
      </c>
      <c r="B10" t="s">
        <v>388</v>
      </c>
      <c r="C10" t="s">
        <v>389</v>
      </c>
      <c r="D10" t="s">
        <v>390</v>
      </c>
      <c r="E10" t="s">
        <v>391</v>
      </c>
      <c r="F10" t="s">
        <v>392</v>
      </c>
      <c r="G10" t="s">
        <v>375</v>
      </c>
      <c r="J10" t="s">
        <v>390</v>
      </c>
      <c r="K10" t="s">
        <v>377</v>
      </c>
    </row>
    <row r="11" spans="1:11">
      <c r="A11" t="s">
        <v>329</v>
      </c>
      <c r="B11" t="s">
        <v>388</v>
      </c>
      <c r="C11" t="s">
        <v>389</v>
      </c>
      <c r="D11" t="s">
        <v>390</v>
      </c>
      <c r="E11" t="s">
        <v>391</v>
      </c>
      <c r="F11" t="s">
        <v>392</v>
      </c>
      <c r="G11" t="s">
        <v>375</v>
      </c>
      <c r="J11" t="s">
        <v>390</v>
      </c>
      <c r="K11" t="s">
        <v>377</v>
      </c>
    </row>
  </sheetData>
  <conditionalFormatting sqref="J2:J200">
    <cfRule type="expression" dxfId="4" priority="1">
      <formula>J2="HOLD"</formula>
    </cfRule>
    <cfRule type="expression" dxfId="3" priority="2">
      <formula>J2="REVIEW"</formula>
    </cfRule>
    <cfRule type="expression" dxfId="2" priority="3">
      <formula>J2="ELIGIBLE"</formula>
    </cfRule>
  </conditionalFormatting>
  <dataValidations count="4">
    <dataValidation type="list" sqref="D2:D200" xr:uid="{00000000-0002-0000-0600-000000000000}">
      <formula1>"PASS,FAIL,REVIEW"</formula1>
    </dataValidation>
    <dataValidation type="list" sqref="E2:E200" xr:uid="{00000000-0002-0000-0600-000001000000}">
      <formula1>"Low,Medium,High,Critical"</formula1>
    </dataValidation>
    <dataValidation type="list" sqref="G2:G200" xr:uid="{00000000-0002-0000-0600-000002000000}">
      <formula1>"Open,Remediated,Closed"</formula1>
    </dataValidation>
    <dataValidation type="list" sqref="J2:J200" xr:uid="{00000000-0002-0000-0600-000003000000}">
      <formula1>"ELIGIBLE,HOLD,REVIEW"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"/>
  <sheetViews>
    <sheetView tabSelected="1" workbookViewId="0">
      <selection activeCell="D20" sqref="D20"/>
    </sheetView>
  </sheetViews>
  <sheetFormatPr defaultRowHeight="14.25"/>
  <cols>
    <col min="1" max="1" width="22" customWidth="1"/>
    <col min="2" max="2" width="28" customWidth="1"/>
    <col min="3" max="3" width="12" customWidth="1"/>
    <col min="4" max="4" width="20" customWidth="1"/>
    <col min="5" max="5" width="14" customWidth="1"/>
    <col min="6" max="6" width="22" customWidth="1"/>
    <col min="7" max="7" width="18" customWidth="1"/>
    <col min="8" max="8" width="12" customWidth="1"/>
    <col min="9" max="10" width="16" customWidth="1"/>
    <col min="11" max="11" width="24" customWidth="1"/>
    <col min="12" max="12" width="25" customWidth="1"/>
    <col min="13" max="13" width="27" customWidth="1"/>
    <col min="14" max="14" width="20" customWidth="1"/>
    <col min="15" max="15" width="22" customWidth="1"/>
    <col min="16" max="16" width="18" customWidth="1"/>
    <col min="17" max="18" width="24" customWidth="1"/>
    <col min="19" max="19" width="22" customWidth="1"/>
    <col min="20" max="20" width="45" customWidth="1"/>
  </cols>
  <sheetData>
    <row r="1" spans="1:20" ht="30">
      <c r="A1" s="11" t="s">
        <v>393</v>
      </c>
      <c r="B1" s="11" t="s">
        <v>31</v>
      </c>
      <c r="C1" s="11" t="s">
        <v>394</v>
      </c>
      <c r="D1" s="11" t="s">
        <v>395</v>
      </c>
      <c r="E1" s="11" t="s">
        <v>396</v>
      </c>
      <c r="F1" s="11" t="s">
        <v>397</v>
      </c>
      <c r="G1" s="11" t="s">
        <v>398</v>
      </c>
      <c r="H1" s="11" t="s">
        <v>399</v>
      </c>
      <c r="I1" s="11" t="s">
        <v>400</v>
      </c>
      <c r="J1" s="11" t="s">
        <v>401</v>
      </c>
      <c r="K1" s="11" t="s">
        <v>402</v>
      </c>
      <c r="L1" s="11" t="s">
        <v>403</v>
      </c>
      <c r="M1" s="11" t="s">
        <v>404</v>
      </c>
      <c r="N1" s="11" t="s">
        <v>405</v>
      </c>
      <c r="O1" s="11" t="s">
        <v>406</v>
      </c>
      <c r="P1" s="11" t="s">
        <v>407</v>
      </c>
      <c r="Q1" s="11" t="s">
        <v>408</v>
      </c>
      <c r="R1" s="11" t="s">
        <v>409</v>
      </c>
      <c r="S1" s="11" t="s">
        <v>410</v>
      </c>
      <c r="T1" s="11" t="s">
        <v>411</v>
      </c>
    </row>
    <row r="2" spans="1:20" ht="28.5">
      <c r="A2" s="3" t="s">
        <v>45</v>
      </c>
      <c r="B2" s="3" t="s">
        <v>44</v>
      </c>
      <c r="C2" s="3" t="s">
        <v>412</v>
      </c>
      <c r="D2" s="3" t="s">
        <v>413</v>
      </c>
      <c r="E2" s="12">
        <v>8454.83</v>
      </c>
      <c r="F2" s="3" t="s">
        <v>414</v>
      </c>
      <c r="G2" s="3" t="s">
        <v>415</v>
      </c>
      <c r="H2" s="3">
        <v>2022</v>
      </c>
      <c r="I2" s="13">
        <v>2112947.1415217733</v>
      </c>
      <c r="J2" s="13">
        <v>596877.72359372093</v>
      </c>
      <c r="K2" s="13">
        <v>542.37073097531129</v>
      </c>
      <c r="L2" s="13">
        <v>74515.701005999494</v>
      </c>
      <c r="M2" s="13">
        <v>84655.195580885134</v>
      </c>
      <c r="N2" s="13">
        <v>74</v>
      </c>
      <c r="O2" s="13">
        <v>1682.1700000000005</v>
      </c>
      <c r="P2" s="3" t="s">
        <v>416</v>
      </c>
      <c r="Q2" s="3" t="s">
        <v>417</v>
      </c>
      <c r="R2" s="3" t="s">
        <v>418</v>
      </c>
      <c r="S2" s="3" t="s">
        <v>419</v>
      </c>
      <c r="T2" s="3" t="s">
        <v>420</v>
      </c>
    </row>
    <row r="3" spans="1:20" ht="28.5">
      <c r="A3" s="3" t="s">
        <v>51</v>
      </c>
      <c r="B3" s="3" t="s">
        <v>50</v>
      </c>
      <c r="C3" s="3" t="s">
        <v>412</v>
      </c>
      <c r="D3" s="3" t="s">
        <v>413</v>
      </c>
      <c r="E3" s="12">
        <v>3990.87</v>
      </c>
      <c r="F3" s="3" t="s">
        <v>421</v>
      </c>
      <c r="G3" s="3" t="s">
        <v>422</v>
      </c>
      <c r="H3" s="3">
        <v>2022</v>
      </c>
      <c r="I3" s="13">
        <v>578682.79609849176</v>
      </c>
      <c r="J3" s="13">
        <v>170200.8223819095</v>
      </c>
      <c r="K3" s="13">
        <v>561.12888028245152</v>
      </c>
      <c r="L3" s="13">
        <v>127122.5303605607</v>
      </c>
      <c r="M3" s="13">
        <v>139604.89636084947</v>
      </c>
      <c r="N3" s="13">
        <v>176</v>
      </c>
      <c r="O3" s="13">
        <v>4070.6999999999989</v>
      </c>
      <c r="P3" s="3" t="s">
        <v>416</v>
      </c>
      <c r="Q3" s="3" t="s">
        <v>423</v>
      </c>
      <c r="R3" s="3" t="s">
        <v>418</v>
      </c>
      <c r="S3" s="3" t="s">
        <v>424</v>
      </c>
      <c r="T3" s="3" t="s">
        <v>420</v>
      </c>
    </row>
    <row r="4" spans="1:20" ht="28.5">
      <c r="A4" s="3" t="s">
        <v>55</v>
      </c>
      <c r="B4" s="3" t="s">
        <v>54</v>
      </c>
      <c r="C4" s="3" t="s">
        <v>412</v>
      </c>
      <c r="D4" s="3" t="s">
        <v>413</v>
      </c>
      <c r="E4" s="12">
        <v>3674.596</v>
      </c>
      <c r="F4" s="3" t="s">
        <v>425</v>
      </c>
      <c r="G4" s="3" t="s">
        <v>415</v>
      </c>
      <c r="H4" s="3">
        <v>2022</v>
      </c>
      <c r="I4" s="13">
        <v>734128.68824245885</v>
      </c>
      <c r="J4" s="13">
        <v>229415.21507576841</v>
      </c>
      <c r="K4" s="13">
        <v>157.3198419236185</v>
      </c>
      <c r="L4" s="13">
        <v>35811.76365559447</v>
      </c>
      <c r="M4" s="13">
        <v>39028.497277983886</v>
      </c>
      <c r="N4" s="13">
        <v>18</v>
      </c>
      <c r="O4" s="13">
        <v>959.04000000000008</v>
      </c>
      <c r="P4" s="3" t="s">
        <v>426</v>
      </c>
      <c r="Q4" s="3" t="s">
        <v>417</v>
      </c>
      <c r="R4" s="3" t="s">
        <v>418</v>
      </c>
      <c r="S4" s="3" t="s">
        <v>419</v>
      </c>
      <c r="T4" s="3" t="s">
        <v>420</v>
      </c>
    </row>
    <row r="5" spans="1:20" ht="28.5">
      <c r="A5" s="3" t="s">
        <v>60</v>
      </c>
      <c r="B5" s="3" t="s">
        <v>59</v>
      </c>
      <c r="C5" s="3" t="s">
        <v>412</v>
      </c>
      <c r="D5" s="3" t="s">
        <v>413</v>
      </c>
      <c r="E5" s="12">
        <v>9536.8140000000003</v>
      </c>
      <c r="F5" s="3" t="s">
        <v>427</v>
      </c>
      <c r="G5" s="3" t="s">
        <v>415</v>
      </c>
      <c r="H5" s="3">
        <v>2022</v>
      </c>
      <c r="I5" s="13">
        <v>1275091.6450618338</v>
      </c>
      <c r="J5" s="13">
        <v>396483.72047942627</v>
      </c>
      <c r="K5" s="13">
        <v>2870.4493402457088</v>
      </c>
      <c r="L5" s="13">
        <v>818051.34986727894</v>
      </c>
      <c r="M5" s="13">
        <v>872532.19190563762</v>
      </c>
      <c r="N5" s="13">
        <v>109</v>
      </c>
      <c r="O5" s="13">
        <v>8613.8199999999979</v>
      </c>
      <c r="P5" s="3" t="s">
        <v>416</v>
      </c>
      <c r="Q5" s="3" t="s">
        <v>417</v>
      </c>
      <c r="R5" s="3" t="s">
        <v>418</v>
      </c>
      <c r="S5" s="3" t="s">
        <v>419</v>
      </c>
      <c r="T5" s="3" t="s">
        <v>420</v>
      </c>
    </row>
    <row r="6" spans="1:20" ht="28.5">
      <c r="A6" s="3" t="s">
        <v>65</v>
      </c>
      <c r="B6" s="3" t="s">
        <v>64</v>
      </c>
      <c r="C6" s="3" t="s">
        <v>412</v>
      </c>
      <c r="D6" s="3" t="s">
        <v>413</v>
      </c>
      <c r="E6" s="12">
        <v>4824.5050000000001</v>
      </c>
      <c r="F6" s="3" t="s">
        <v>428</v>
      </c>
      <c r="G6" s="3" t="s">
        <v>415</v>
      </c>
      <c r="H6" s="3">
        <v>2022</v>
      </c>
      <c r="I6" s="13">
        <v>338629.65438571892</v>
      </c>
      <c r="J6" s="13">
        <v>88184.805829614343</v>
      </c>
      <c r="K6" s="13">
        <v>76.486132447994166</v>
      </c>
      <c r="L6" s="13">
        <v>3789.1898725928795</v>
      </c>
      <c r="M6" s="13">
        <v>5192.7103979718895</v>
      </c>
      <c r="N6" s="13">
        <v>26</v>
      </c>
      <c r="O6" s="13">
        <v>552.42999999999995</v>
      </c>
      <c r="P6" s="3" t="s">
        <v>416</v>
      </c>
      <c r="Q6" s="3" t="s">
        <v>429</v>
      </c>
      <c r="R6" s="3" t="s">
        <v>418</v>
      </c>
      <c r="S6" s="3" t="s">
        <v>424</v>
      </c>
      <c r="T6" s="3" t="s">
        <v>420</v>
      </c>
    </row>
    <row r="7" spans="1:20" ht="28.5">
      <c r="A7" s="3" t="s">
        <v>69</v>
      </c>
      <c r="B7" s="3" t="s">
        <v>68</v>
      </c>
      <c r="C7" s="3" t="s">
        <v>430</v>
      </c>
      <c r="D7" s="3" t="s">
        <v>431</v>
      </c>
      <c r="E7" s="12">
        <v>8374.2540000000008</v>
      </c>
      <c r="F7" s="3" t="s">
        <v>432</v>
      </c>
      <c r="G7" s="3" t="s">
        <v>415</v>
      </c>
      <c r="H7" s="3">
        <v>2022</v>
      </c>
      <c r="I7" s="13">
        <v>1633172.1950284129</v>
      </c>
      <c r="J7" s="13">
        <v>418762.10128933634</v>
      </c>
      <c r="K7" s="13">
        <v>261.12833735705254</v>
      </c>
      <c r="L7" s="13">
        <v>34537.43292754193</v>
      </c>
      <c r="M7" s="13">
        <v>39329.137915935717</v>
      </c>
      <c r="N7" s="13">
        <v>60</v>
      </c>
      <c r="O7" s="13">
        <v>1239.6199999999999</v>
      </c>
      <c r="P7" s="3" t="s">
        <v>416</v>
      </c>
      <c r="Q7" s="3" t="s">
        <v>429</v>
      </c>
      <c r="R7" s="3" t="s">
        <v>418</v>
      </c>
      <c r="S7" s="3" t="s">
        <v>424</v>
      </c>
      <c r="T7" s="3" t="s">
        <v>420</v>
      </c>
    </row>
    <row r="8" spans="1:20" ht="28.5">
      <c r="A8" s="3" t="s">
        <v>73</v>
      </c>
      <c r="B8" s="3" t="s">
        <v>72</v>
      </c>
      <c r="C8" s="3" t="s">
        <v>433</v>
      </c>
      <c r="D8" s="3" t="s">
        <v>434</v>
      </c>
      <c r="E8" s="12">
        <v>12601.976000000001</v>
      </c>
      <c r="F8" s="3" t="s">
        <v>435</v>
      </c>
      <c r="G8" s="3" t="s">
        <v>415</v>
      </c>
      <c r="H8" s="3">
        <v>2022</v>
      </c>
      <c r="I8" s="13">
        <v>598979.93490490795</v>
      </c>
      <c r="J8" s="13">
        <v>200596.09340418893</v>
      </c>
      <c r="K8" s="13">
        <v>13809.265661044788</v>
      </c>
      <c r="L8" s="13">
        <v>1580000.0840630676</v>
      </c>
      <c r="M8" s="13">
        <v>1833400.1089747036</v>
      </c>
      <c r="N8" s="13">
        <v>1172</v>
      </c>
      <c r="O8" s="13">
        <v>150531.48000000016</v>
      </c>
      <c r="P8" s="3" t="s">
        <v>416</v>
      </c>
      <c r="Q8" s="3" t="s">
        <v>429</v>
      </c>
      <c r="R8" s="3" t="s">
        <v>418</v>
      </c>
      <c r="S8" s="3" t="s">
        <v>424</v>
      </c>
      <c r="T8" s="3" t="s">
        <v>420</v>
      </c>
    </row>
    <row r="9" spans="1:20" ht="28.5">
      <c r="A9" s="3" t="s">
        <v>77</v>
      </c>
      <c r="B9" s="3" t="s">
        <v>76</v>
      </c>
      <c r="C9" s="3" t="s">
        <v>436</v>
      </c>
      <c r="D9" s="3" t="s">
        <v>437</v>
      </c>
      <c r="E9" s="12">
        <v>8413.009</v>
      </c>
      <c r="F9" s="3" t="s">
        <v>438</v>
      </c>
      <c r="G9" s="3" t="s">
        <v>415</v>
      </c>
      <c r="H9" s="3">
        <v>2022</v>
      </c>
      <c r="I9" s="13">
        <v>364058.16788050206</v>
      </c>
      <c r="J9" s="13">
        <v>103809.00139164587</v>
      </c>
      <c r="K9" s="13">
        <v>7357.5012806398772</v>
      </c>
      <c r="L9" s="13">
        <v>952316.49929228111</v>
      </c>
      <c r="M9" s="13">
        <v>1087306.8658326156</v>
      </c>
      <c r="N9" s="13">
        <v>403</v>
      </c>
      <c r="O9" s="13">
        <v>91914.709999999948</v>
      </c>
      <c r="P9" s="3" t="s">
        <v>416</v>
      </c>
      <c r="Q9" s="3" t="s">
        <v>429</v>
      </c>
      <c r="R9" s="3" t="s">
        <v>418</v>
      </c>
      <c r="S9" s="3" t="s">
        <v>424</v>
      </c>
      <c r="T9" s="3" t="s">
        <v>420</v>
      </c>
    </row>
    <row r="10" spans="1:20" ht="28.5">
      <c r="A10" s="3" t="s">
        <v>81</v>
      </c>
      <c r="B10" s="3" t="s">
        <v>80</v>
      </c>
      <c r="C10" s="3" t="s">
        <v>439</v>
      </c>
      <c r="D10" s="3" t="s">
        <v>440</v>
      </c>
      <c r="E10" s="12">
        <v>4033.04</v>
      </c>
      <c r="F10" s="3" t="s">
        <v>441</v>
      </c>
      <c r="G10" s="3" t="s">
        <v>415</v>
      </c>
      <c r="H10" s="3">
        <v>2022</v>
      </c>
      <c r="I10" s="13">
        <v>646615.83093294897</v>
      </c>
      <c r="J10" s="13">
        <v>153956.15022213056</v>
      </c>
      <c r="K10" s="13">
        <v>10797.224962779093</v>
      </c>
      <c r="L10" s="13">
        <v>1367259.4379044215</v>
      </c>
      <c r="M10" s="13">
        <v>1565388.5159000191</v>
      </c>
      <c r="N10" s="13">
        <v>193</v>
      </c>
      <c r="O10" s="13">
        <v>23364.250000000011</v>
      </c>
      <c r="P10" s="3" t="s">
        <v>426</v>
      </c>
      <c r="Q10" s="3" t="s">
        <v>429</v>
      </c>
      <c r="R10" s="3" t="s">
        <v>418</v>
      </c>
      <c r="S10" s="3" t="s">
        <v>424</v>
      </c>
      <c r="T10" s="3" t="s">
        <v>420</v>
      </c>
    </row>
    <row r="11" spans="1:20" ht="28.5">
      <c r="A11" s="3" t="s">
        <v>85</v>
      </c>
      <c r="B11" s="3" t="s">
        <v>84</v>
      </c>
      <c r="C11" s="3" t="s">
        <v>439</v>
      </c>
      <c r="D11" s="3" t="s">
        <v>440</v>
      </c>
      <c r="E11" s="12">
        <v>15634.328</v>
      </c>
      <c r="F11" s="3" t="s">
        <v>442</v>
      </c>
      <c r="G11" s="3" t="s">
        <v>415</v>
      </c>
      <c r="H11" s="3">
        <v>2022</v>
      </c>
      <c r="I11" s="13">
        <v>651081.76549347863</v>
      </c>
      <c r="J11" s="13">
        <v>166944.04243422535</v>
      </c>
      <c r="K11" s="13">
        <v>7781.8153105159472</v>
      </c>
      <c r="L11" s="13">
        <v>892329.3463288201</v>
      </c>
      <c r="M11" s="13">
        <v>1035125.6572312195</v>
      </c>
      <c r="N11" s="13">
        <v>717</v>
      </c>
      <c r="O11" s="13">
        <v>117146.01999999997</v>
      </c>
      <c r="P11" s="3" t="s">
        <v>416</v>
      </c>
      <c r="Q11" s="3" t="s">
        <v>429</v>
      </c>
      <c r="R11" s="3" t="s">
        <v>418</v>
      </c>
      <c r="S11" s="3" t="s">
        <v>424</v>
      </c>
      <c r="T11" s="3" t="s">
        <v>420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"/>
  <sheetViews>
    <sheetView workbookViewId="0">
      <selection activeCell="F6" sqref="F6"/>
    </sheetView>
  </sheetViews>
  <sheetFormatPr defaultRowHeight="14.25"/>
  <cols>
    <col min="1" max="1" width="26" customWidth="1"/>
    <col min="2" max="2" width="28" customWidth="1"/>
    <col min="3" max="3" width="14" customWidth="1"/>
    <col min="4" max="4" width="10" customWidth="1"/>
    <col min="5" max="5" width="14" customWidth="1"/>
    <col min="6" max="6" width="20" customWidth="1"/>
    <col min="7" max="7" width="12" customWidth="1"/>
    <col min="8" max="8" width="18" customWidth="1"/>
    <col min="9" max="9" width="24" customWidth="1"/>
    <col min="10" max="10" width="20" customWidth="1"/>
    <col min="11" max="11" width="22" customWidth="1"/>
    <col min="12" max="12" width="42" customWidth="1"/>
    <col min="13" max="13" width="24" customWidth="1"/>
    <col min="14" max="14" width="22" customWidth="1"/>
    <col min="15" max="15" width="56" customWidth="1"/>
    <col min="16" max="16" width="68" customWidth="1"/>
  </cols>
  <sheetData>
    <row r="1" spans="1:16" ht="30">
      <c r="A1" s="14" t="s">
        <v>443</v>
      </c>
      <c r="B1" s="14" t="s">
        <v>444</v>
      </c>
      <c r="C1" s="14" t="s">
        <v>445</v>
      </c>
      <c r="D1" s="14" t="s">
        <v>446</v>
      </c>
      <c r="E1" s="14" t="s">
        <v>447</v>
      </c>
      <c r="F1" s="14" t="s">
        <v>448</v>
      </c>
      <c r="G1" s="14" t="s">
        <v>399</v>
      </c>
      <c r="H1" s="14" t="s">
        <v>449</v>
      </c>
      <c r="I1" s="14" t="s">
        <v>450</v>
      </c>
      <c r="J1" s="14" t="s">
        <v>405</v>
      </c>
      <c r="K1" s="14" t="s">
        <v>406</v>
      </c>
      <c r="L1" s="14" t="s">
        <v>451</v>
      </c>
      <c r="M1" s="14" t="s">
        <v>452</v>
      </c>
      <c r="N1" s="14" t="s">
        <v>453</v>
      </c>
      <c r="O1" s="14" t="s">
        <v>454</v>
      </c>
      <c r="P1" s="14" t="s">
        <v>455</v>
      </c>
    </row>
    <row r="2" spans="1:16" ht="57.75">
      <c r="A2" s="3" t="s">
        <v>44</v>
      </c>
      <c r="B2" s="3" t="s">
        <v>44</v>
      </c>
      <c r="C2" s="3" t="s">
        <v>45</v>
      </c>
      <c r="D2" s="3" t="s">
        <v>412</v>
      </c>
      <c r="E2" s="3" t="s">
        <v>419</v>
      </c>
      <c r="F2" s="3" t="s">
        <v>419</v>
      </c>
      <c r="G2" s="3">
        <v>2022</v>
      </c>
      <c r="H2" s="13">
        <v>2112947.1415217733</v>
      </c>
      <c r="I2" s="3" t="s">
        <v>419</v>
      </c>
      <c r="J2" s="3">
        <v>74</v>
      </c>
      <c r="K2" s="13">
        <v>1682.1700000000005</v>
      </c>
      <c r="L2" s="3" t="s">
        <v>456</v>
      </c>
      <c r="M2" s="3" t="s">
        <v>424</v>
      </c>
      <c r="N2" s="3" t="s">
        <v>419</v>
      </c>
      <c r="O2" s="3" t="s">
        <v>457</v>
      </c>
      <c r="P2" s="3" t="s">
        <v>458</v>
      </c>
    </row>
    <row r="3" spans="1:16" ht="57.75">
      <c r="A3" s="3" t="s">
        <v>50</v>
      </c>
      <c r="B3" s="3" t="s">
        <v>50</v>
      </c>
      <c r="C3" s="3" t="s">
        <v>51</v>
      </c>
      <c r="D3" s="3" t="s">
        <v>412</v>
      </c>
      <c r="E3" s="3" t="s">
        <v>419</v>
      </c>
      <c r="F3" s="3" t="s">
        <v>419</v>
      </c>
      <c r="G3" s="3">
        <v>2022</v>
      </c>
      <c r="H3" s="13">
        <v>578682.79609849176</v>
      </c>
      <c r="I3" s="3" t="s">
        <v>419</v>
      </c>
      <c r="J3" s="3">
        <v>176</v>
      </c>
      <c r="K3" s="13">
        <v>4070.6999999999989</v>
      </c>
      <c r="L3" s="3" t="s">
        <v>459</v>
      </c>
      <c r="M3" s="3" t="s">
        <v>424</v>
      </c>
      <c r="N3" s="3" t="s">
        <v>419</v>
      </c>
      <c r="O3" s="3" t="s">
        <v>457</v>
      </c>
      <c r="P3" s="3" t="s">
        <v>460</v>
      </c>
    </row>
    <row r="4" spans="1:16" ht="57.75">
      <c r="A4" s="3" t="s">
        <v>54</v>
      </c>
      <c r="B4" s="3" t="s">
        <v>54</v>
      </c>
      <c r="C4" s="3" t="s">
        <v>55</v>
      </c>
      <c r="D4" s="3" t="s">
        <v>412</v>
      </c>
      <c r="E4" s="3" t="s">
        <v>419</v>
      </c>
      <c r="F4" s="3" t="s">
        <v>419</v>
      </c>
      <c r="G4" s="3">
        <v>2022</v>
      </c>
      <c r="H4" s="13">
        <v>734128.68824245885</v>
      </c>
      <c r="I4" s="3" t="s">
        <v>419</v>
      </c>
      <c r="J4" s="3">
        <v>18</v>
      </c>
      <c r="K4" s="13">
        <v>959.04000000000008</v>
      </c>
      <c r="L4" s="3" t="s">
        <v>456</v>
      </c>
      <c r="M4" s="3" t="s">
        <v>424</v>
      </c>
      <c r="N4" s="3" t="s">
        <v>419</v>
      </c>
      <c r="O4" s="3" t="s">
        <v>457</v>
      </c>
      <c r="P4" s="3" t="s">
        <v>458</v>
      </c>
    </row>
    <row r="5" spans="1:16" ht="57.75">
      <c r="A5" s="3" t="s">
        <v>59</v>
      </c>
      <c r="B5" s="3" t="s">
        <v>59</v>
      </c>
      <c r="C5" s="3" t="s">
        <v>60</v>
      </c>
      <c r="D5" s="3" t="s">
        <v>412</v>
      </c>
      <c r="E5" s="3" t="s">
        <v>419</v>
      </c>
      <c r="F5" s="3" t="s">
        <v>419</v>
      </c>
      <c r="G5" s="3">
        <v>2022</v>
      </c>
      <c r="H5" s="13">
        <v>1275091.6450618338</v>
      </c>
      <c r="I5" s="3" t="s">
        <v>419</v>
      </c>
      <c r="J5" s="3">
        <v>109</v>
      </c>
      <c r="K5" s="13">
        <v>8613.8199999999979</v>
      </c>
      <c r="L5" s="3" t="s">
        <v>456</v>
      </c>
      <c r="M5" s="3" t="s">
        <v>424</v>
      </c>
      <c r="N5" s="3" t="s">
        <v>419</v>
      </c>
      <c r="O5" s="3" t="s">
        <v>457</v>
      </c>
      <c r="P5" s="3" t="s">
        <v>458</v>
      </c>
    </row>
    <row r="6" spans="1:16" ht="57.75">
      <c r="A6" s="3" t="s">
        <v>461</v>
      </c>
      <c r="B6" s="3" t="s">
        <v>64</v>
      </c>
      <c r="C6" s="3" t="s">
        <v>65</v>
      </c>
      <c r="D6" s="3" t="s">
        <v>412</v>
      </c>
      <c r="E6" s="3" t="s">
        <v>419</v>
      </c>
      <c r="F6" s="3" t="s">
        <v>419</v>
      </c>
      <c r="G6" s="3">
        <v>2022</v>
      </c>
      <c r="H6" s="13">
        <v>338629.65438571892</v>
      </c>
      <c r="I6" s="3" t="s">
        <v>419</v>
      </c>
      <c r="J6" s="3">
        <v>26</v>
      </c>
      <c r="K6" s="13">
        <v>552.42999999999995</v>
      </c>
      <c r="L6" s="3" t="s">
        <v>462</v>
      </c>
      <c r="M6" s="3" t="s">
        <v>419</v>
      </c>
      <c r="N6" s="3" t="s">
        <v>419</v>
      </c>
      <c r="O6" s="3" t="s">
        <v>457</v>
      </c>
      <c r="P6" s="3" t="s">
        <v>460</v>
      </c>
    </row>
    <row r="7" spans="1:16" ht="57.75">
      <c r="A7" s="3" t="s">
        <v>68</v>
      </c>
      <c r="B7" s="3" t="s">
        <v>68</v>
      </c>
      <c r="C7" s="3" t="s">
        <v>69</v>
      </c>
      <c r="D7" s="3" t="s">
        <v>430</v>
      </c>
      <c r="E7" s="3" t="s">
        <v>419</v>
      </c>
      <c r="F7" s="3" t="s">
        <v>419</v>
      </c>
      <c r="G7" s="3">
        <v>2022</v>
      </c>
      <c r="H7" s="13">
        <v>1633172.1950284129</v>
      </c>
      <c r="I7" s="3" t="s">
        <v>419</v>
      </c>
      <c r="J7" s="3">
        <v>60</v>
      </c>
      <c r="K7" s="13">
        <v>1239.6199999999999</v>
      </c>
      <c r="L7" s="3" t="s">
        <v>462</v>
      </c>
      <c r="M7" s="3" t="s">
        <v>424</v>
      </c>
      <c r="N7" s="3" t="s">
        <v>419</v>
      </c>
      <c r="O7" s="3" t="s">
        <v>457</v>
      </c>
      <c r="P7" s="3" t="s">
        <v>460</v>
      </c>
    </row>
    <row r="8" spans="1:16" ht="57.75">
      <c r="A8" s="3" t="s">
        <v>72</v>
      </c>
      <c r="B8" s="3" t="s">
        <v>72</v>
      </c>
      <c r="C8" s="3" t="s">
        <v>73</v>
      </c>
      <c r="D8" s="3" t="s">
        <v>433</v>
      </c>
      <c r="E8" s="3" t="s">
        <v>419</v>
      </c>
      <c r="F8" s="3" t="s">
        <v>419</v>
      </c>
      <c r="G8" s="3">
        <v>2022</v>
      </c>
      <c r="H8" s="13">
        <v>598979.93490490795</v>
      </c>
      <c r="I8" s="3" t="s">
        <v>419</v>
      </c>
      <c r="J8" s="3">
        <v>1172</v>
      </c>
      <c r="K8" s="13">
        <v>150531.48000000016</v>
      </c>
      <c r="L8" s="3" t="s">
        <v>462</v>
      </c>
      <c r="M8" s="3" t="s">
        <v>424</v>
      </c>
      <c r="N8" s="3" t="s">
        <v>419</v>
      </c>
      <c r="O8" s="3" t="s">
        <v>457</v>
      </c>
      <c r="P8" s="3" t="s">
        <v>460</v>
      </c>
    </row>
    <row r="9" spans="1:16" ht="57.75">
      <c r="A9" s="3" t="s">
        <v>463</v>
      </c>
      <c r="B9" s="3" t="s">
        <v>76</v>
      </c>
      <c r="C9" s="3" t="s">
        <v>77</v>
      </c>
      <c r="D9" s="3" t="s">
        <v>436</v>
      </c>
      <c r="E9" s="3" t="s">
        <v>419</v>
      </c>
      <c r="F9" s="3" t="s">
        <v>419</v>
      </c>
      <c r="G9" s="3">
        <v>2022</v>
      </c>
      <c r="H9" s="13">
        <v>364058.16788050206</v>
      </c>
      <c r="I9" s="3" t="s">
        <v>419</v>
      </c>
      <c r="J9" s="3">
        <v>403</v>
      </c>
      <c r="K9" s="13">
        <v>91914.709999999948</v>
      </c>
      <c r="L9" s="3" t="s">
        <v>462</v>
      </c>
      <c r="M9" s="3" t="s">
        <v>419</v>
      </c>
      <c r="N9" s="3" t="s">
        <v>419</v>
      </c>
      <c r="O9" s="3" t="s">
        <v>457</v>
      </c>
      <c r="P9" s="3" t="s">
        <v>460</v>
      </c>
    </row>
    <row r="10" spans="1:16" ht="57.75">
      <c r="A10" s="3" t="s">
        <v>464</v>
      </c>
      <c r="B10" s="3" t="s">
        <v>80</v>
      </c>
      <c r="C10" s="3" t="s">
        <v>81</v>
      </c>
      <c r="D10" s="3" t="s">
        <v>439</v>
      </c>
      <c r="E10" s="3" t="s">
        <v>419</v>
      </c>
      <c r="F10" s="3" t="s">
        <v>419</v>
      </c>
      <c r="G10" s="3">
        <v>2022</v>
      </c>
      <c r="H10" s="13">
        <v>646615.83093294897</v>
      </c>
      <c r="I10" s="3" t="s">
        <v>419</v>
      </c>
      <c r="J10" s="3">
        <v>193</v>
      </c>
      <c r="K10" s="13">
        <v>23364.250000000011</v>
      </c>
      <c r="L10" s="3" t="s">
        <v>462</v>
      </c>
      <c r="M10" s="3" t="s">
        <v>419</v>
      </c>
      <c r="N10" s="3" t="s">
        <v>419</v>
      </c>
      <c r="O10" s="3" t="s">
        <v>457</v>
      </c>
      <c r="P10" s="3" t="s">
        <v>460</v>
      </c>
    </row>
    <row r="11" spans="1:16" ht="57.75">
      <c r="A11" s="3" t="s">
        <v>84</v>
      </c>
      <c r="B11" s="3" t="s">
        <v>84</v>
      </c>
      <c r="C11" s="3" t="s">
        <v>85</v>
      </c>
      <c r="D11" s="3" t="s">
        <v>439</v>
      </c>
      <c r="E11" s="3" t="s">
        <v>419</v>
      </c>
      <c r="F11" s="3" t="s">
        <v>419</v>
      </c>
      <c r="G11" s="3">
        <v>2022</v>
      </c>
      <c r="H11" s="13">
        <v>651081.76549347863</v>
      </c>
      <c r="I11" s="3" t="s">
        <v>419</v>
      </c>
      <c r="J11" s="3">
        <v>717</v>
      </c>
      <c r="K11" s="13">
        <v>117146.01999999997</v>
      </c>
      <c r="L11" s="3" t="s">
        <v>462</v>
      </c>
      <c r="M11" s="3" t="s">
        <v>424</v>
      </c>
      <c r="N11" s="3" t="s">
        <v>419</v>
      </c>
      <c r="O11" s="3" t="s">
        <v>457</v>
      </c>
      <c r="P11" s="3" t="s">
        <v>460</v>
      </c>
    </row>
  </sheetData>
  <conditionalFormatting sqref="N2:N11">
    <cfRule type="expression" dxfId="1" priority="1">
      <formula>N2="YES"</formula>
    </cfRule>
    <cfRule type="expression" dxfId="0" priority="2">
      <formula>N2="NO"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Supplier_Master</vt:lpstr>
      <vt:lpstr>Material_Master</vt:lpstr>
      <vt:lpstr>Evidence_Register</vt:lpstr>
      <vt:lpstr>Emission_Factor_Master</vt:lpstr>
      <vt:lpstr>Procurement_Transactions</vt:lpstr>
      <vt:lpstr>Control_Results</vt:lpstr>
      <vt:lpstr>Municipality_Reference</vt:lpstr>
      <vt:lpstr>Municipality_Validation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2026-10-06T22:39:56Z</dcterms:created>
  <dcterms:modified xsi:type="dcterms:W3CDTF">2026-10-10T17:48:26Z</dcterms:modified>
</cp:coreProperties>
</file>